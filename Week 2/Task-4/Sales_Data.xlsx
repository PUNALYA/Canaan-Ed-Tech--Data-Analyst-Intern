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c6bf3a67244914/Desktop/Canaan Ed ^0 Tech Internship/Week 2/Task-4/"/>
    </mc:Choice>
  </mc:AlternateContent>
  <xr:revisionPtr revIDLastSave="297" documentId="8_{F4B8027A-21D0-4A3A-89CD-A73DDD5C389D}" xr6:coauthVersionLast="47" xr6:coauthVersionMax="47" xr10:uidLastSave="{9E40C425-6B10-408D-BAC3-D857220A1C29}"/>
  <bookViews>
    <workbookView xWindow="-108" yWindow="-108" windowWidth="23256" windowHeight="12456" firstSheet="3" activeTab="9" xr2:uid="{AF9D0C69-434B-43C5-B6F6-5719404E56B5}"/>
  </bookViews>
  <sheets>
    <sheet name="Detail1" sheetId="5" r:id="rId1"/>
    <sheet name="Pivot_table-1" sheetId="2" r:id="rId2"/>
    <sheet name="Pivot_table-2" sheetId="3" r:id="rId3"/>
    <sheet name="Dashboard-1" sheetId="6" r:id="rId4"/>
    <sheet name="Dashboard-2" sheetId="7" r:id="rId5"/>
    <sheet name="Product_Lookup" sheetId="4" r:id="rId6"/>
    <sheet name="Pivot table-3" sheetId="8" r:id="rId7"/>
    <sheet name="Pivot table-4" sheetId="9" r:id="rId8"/>
    <sheet name="Table2" sheetId="10" r:id="rId9"/>
    <sheet name="Sales_Data" sheetId="1" r:id="rId10"/>
    <sheet name="Sheet1" sheetId="11" r:id="rId11"/>
  </sheets>
  <definedNames>
    <definedName name="ExternalData_1" localSheetId="8" hidden="1">Table2!$A$1:$J$31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1F4F2-1BB0-4C68-8D0B-F02BF556A6E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<sst xmlns="http://schemas.openxmlformats.org/spreadsheetml/2006/main" count="339" uniqueCount="63">
  <si>
    <t>Order_ID</t>
  </si>
  <si>
    <t>Date</t>
  </si>
  <si>
    <t>Customer_Name</t>
  </si>
  <si>
    <t>City</t>
  </si>
  <si>
    <t>Product</t>
  </si>
  <si>
    <t>Category</t>
  </si>
  <si>
    <t>Quantity</t>
  </si>
  <si>
    <t>Price</t>
  </si>
  <si>
    <t>Total_Sales</t>
  </si>
  <si>
    <t>Amit</t>
  </si>
  <si>
    <t>Chennai</t>
  </si>
  <si>
    <t>Laptop</t>
  </si>
  <si>
    <t>Electronics</t>
  </si>
  <si>
    <t>Riya</t>
  </si>
  <si>
    <t>Salem</t>
  </si>
  <si>
    <t>Phone</t>
  </si>
  <si>
    <t>John</t>
  </si>
  <si>
    <t>Bangalore</t>
  </si>
  <si>
    <t>Tablet</t>
  </si>
  <si>
    <t>Sneha</t>
  </si>
  <si>
    <t>Shoes</t>
  </si>
  <si>
    <t>Fashion</t>
  </si>
  <si>
    <t>Karan</t>
  </si>
  <si>
    <t>Coimbatore</t>
  </si>
  <si>
    <t>T-Shirt</t>
  </si>
  <si>
    <t>Meena</t>
  </si>
  <si>
    <t>Watch</t>
  </si>
  <si>
    <t>Accessories</t>
  </si>
  <si>
    <t>Arun</t>
  </si>
  <si>
    <t>Madurai</t>
  </si>
  <si>
    <t>Headphones</t>
  </si>
  <si>
    <t>Priya</t>
  </si>
  <si>
    <t>Bag</t>
  </si>
  <si>
    <t>Rahul</t>
  </si>
  <si>
    <t>Divya</t>
  </si>
  <si>
    <t>Vikram</t>
  </si>
  <si>
    <t>Anjali</t>
  </si>
  <si>
    <t>Suresh</t>
  </si>
  <si>
    <t>Latha</t>
  </si>
  <si>
    <t>Naveen</t>
  </si>
  <si>
    <t>Pooja</t>
  </si>
  <si>
    <t>Ajay</t>
  </si>
  <si>
    <t>Kavya</t>
  </si>
  <si>
    <t>Ramesh</t>
  </si>
  <si>
    <t>Deepa</t>
  </si>
  <si>
    <t>Santhosh</t>
  </si>
  <si>
    <t>Neha</t>
  </si>
  <si>
    <t>Imran</t>
  </si>
  <si>
    <t>Shruti</t>
  </si>
  <si>
    <t>Manoj</t>
  </si>
  <si>
    <t>Aishwarya</t>
  </si>
  <si>
    <t>Rohit</t>
  </si>
  <si>
    <t>Keerthi</t>
  </si>
  <si>
    <t>Harish</t>
  </si>
  <si>
    <t>Nisha</t>
  </si>
  <si>
    <t>Total_Sales=Quantity * Price</t>
  </si>
  <si>
    <t>Row Labels</t>
  </si>
  <si>
    <t>Grand Total</t>
  </si>
  <si>
    <t>Sum of Total_Sales</t>
  </si>
  <si>
    <t>Lookup_Price</t>
  </si>
  <si>
    <t>Details for Sum of Total_Sales - Category: Fashion</t>
  </si>
  <si>
    <t>Product Analysis Dashboard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</si>
  <si>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</t>
    </r>
    <r>
      <rPr>
        <b/>
        <sz val="20"/>
        <color theme="1"/>
        <rFont val="Calibri"/>
        <family val="2"/>
        <scheme val="minor"/>
      </rPr>
      <t xml:space="preserve">             Sales Overview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</si>
</sst>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/>
    </xf>
    <xf numFmtId="22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[Sales_Data.xlsx]Pivot_table-1!PivotTable1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'Pivot_table-1'!$B$3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'Pivot_table-1'!$A$4:$A$7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'Pivot_table-1'!$B$4:$B$7</c:f>
              <c:numCache>
                <c:formatCode>General</c:formatCode>
                <c:ptCount val="3"/>
                <c:pt idx="0">
                  <c:v>45500</c:v>
                </c:pt>
                <c:pt idx="1">
                  <c:v>488700</c:v>
                </c:pt>
                <c:pt idx="2">
                  <c:v>33250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4-4F94-98ED-3EB6F7A29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3183"/>
        <c:axId val="18389743"/>
      </c:barChart>
      <c:catAx>
        <c:axId val="1840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743"/>
        <c:crosses val="autoZero"/>
        <c:auto val="1"/>
        <c:lblAlgn val="ctr"/>
        <c:lblOffset val="100"/>
        <c:noMultiLvlLbl val="0"/>
      </c:catAx>
      <c:valAx>
        <c:axId val="1838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[Sales_Data.xlsx]Pivot_table-2!PivotTable2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'Pivot_table-2'!$A$4:$A$9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Madurai</c:v>
                </c:pt>
                <c:pt idx="4">
                  <c:v>Salem</c:v>
                </c:pt>
              </c:strCache>
            </c:strRef>
          </c:cat>
          <c:val>
            <c:numRef>
              <c:f>'Pivot_table-2'!$B$4:$B$9</c:f>
              <c:numCache>
                <c:formatCode>General</c:formatCode>
                <c:ptCount val="5"/>
                <c:pt idx="0">
                  <c:v>118000</c:v>
                </c:pt>
                <c:pt idx="1">
                  <c:v>138200</c:v>
                </c:pt>
                <c:pt idx="2">
                  <c:v>110350</c:v>
                </c:pt>
                <c:pt idx="3">
                  <c:v>70800</c:v>
                </c:pt>
                <c:pt idx="4">
                  <c:v>130100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7-41F9-8B4D-ED0266339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1423"/>
        <c:axId val="18428623"/>
      </c:barChart>
      <c:catAx>
        <c:axId val="1842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623"/>
        <c:crosses val="autoZero"/>
        <c:auto val="1"/>
        <c:lblAlgn val="ctr"/>
        <c:lblOffset val="100"/>
        <c:noMultiLvlLbl val="0"/>
      </c:catAx>
      <c:valAx>
        <c:axId val="1842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[Sales_Data.xlsx]Pivot_table-2!PivotTable2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'Pivot_table-2'!$B$3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61-426D-BFBE-05C5EF91CC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61-426D-BFBE-05C5EF91CC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61-426D-BFBE-05C5EF91CC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61-426D-BFBE-05C5EF91CC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61-426D-BFBE-05C5EF91CC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'Pivot_table-2'!$A$4:$A$9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Madurai</c:v>
                </c:pt>
                <c:pt idx="4">
                  <c:v>Salem</c:v>
                </c:pt>
              </c:strCache>
            </c:strRef>
          </c:cat>
          <c:val>
            <c:numRef>
              <c:f>'Pivot_table-2'!$B$4:$B$9</c:f>
              <c:numCache>
                <c:formatCode>General</c:formatCode>
                <c:ptCount val="5"/>
                <c:pt idx="0">
                  <c:v>118000</c:v>
                </c:pt>
                <c:pt idx="1">
                  <c:v>138200</c:v>
                </c:pt>
                <c:pt idx="2">
                  <c:v>110350</c:v>
                </c:pt>
                <c:pt idx="3">
                  <c:v>70800</c:v>
                </c:pt>
                <c:pt idx="4">
                  <c:v>130100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61-426D-BFBE-05C5EF91CC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 table-3!PivotTable17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table-3'!$B$3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table-3'!$A$4:$A$12</c:f>
              <c:strCache>
                <c:ptCount val="8"/>
                <c:pt idx="0">
                  <c:v>Bag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Shoes</c:v>
                </c:pt>
                <c:pt idx="5">
                  <c:v>Tablet</c:v>
                </c:pt>
                <c:pt idx="6">
                  <c:v>T-Shirt</c:v>
                </c:pt>
                <c:pt idx="7">
                  <c:v>Watch</c:v>
                </c:pt>
              </c:strCache>
            </c:strRef>
          </c:cat>
          <c:val>
            <c:numRef>
              <c:f>'Pivot table-3'!$B$4:$B$12</c:f>
              <c:numCache>
                <c:formatCode>General</c:formatCode>
                <c:ptCount val="8"/>
                <c:pt idx="0">
                  <c:v>20800</c:v>
                </c:pt>
                <c:pt idx="1">
                  <c:v>19600</c:v>
                </c:pt>
                <c:pt idx="2">
                  <c:v>206000</c:v>
                </c:pt>
                <c:pt idx="3">
                  <c:v>123500</c:v>
                </c:pt>
                <c:pt idx="4">
                  <c:v>23000</c:v>
                </c:pt>
                <c:pt idx="5">
                  <c:v>139600</c:v>
                </c:pt>
                <c:pt idx="6">
                  <c:v>10250</c:v>
                </c:pt>
                <c:pt idx="7">
                  <c:v>24700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5-44D9-BAA4-39204BD2A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626159"/>
        <c:axId val="375629999"/>
      </c:barChart>
      <c:catAx>
        <c:axId val="3756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29999"/>
        <c:crosses val="autoZero"/>
        <c:auto val="1"/>
        <c:lblAlgn val="ctr"/>
        <c:lblOffset val="100"/>
        <c:noMultiLvlLbl val="0"/>
      </c:catAx>
      <c:valAx>
        <c:axId val="3756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2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 table-4!PivotTable18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table-4'!$B$3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table-4'!$A$4:$A$33</c:f>
              <c:strCache>
                <c:ptCount val="29"/>
                <c:pt idx="0">
                  <c:v>02-02-2026</c:v>
                </c:pt>
                <c:pt idx="1">
                  <c:v>03-02-2026</c:v>
                </c:pt>
                <c:pt idx="2">
                  <c:v>04-02-2026</c:v>
                </c:pt>
                <c:pt idx="3">
                  <c:v>05-02-2026</c:v>
                </c:pt>
                <c:pt idx="4">
                  <c:v>06-02-2026</c:v>
                </c:pt>
                <c:pt idx="5">
                  <c:v>07-02-2026</c:v>
                </c:pt>
                <c:pt idx="6">
                  <c:v>08-02-2026</c:v>
                </c:pt>
                <c:pt idx="7">
                  <c:v>09-02-2026</c:v>
                </c:pt>
                <c:pt idx="8">
                  <c:v>10-02-2026</c:v>
                </c:pt>
                <c:pt idx="9">
                  <c:v>11-02-2026</c:v>
                </c:pt>
                <c:pt idx="10">
                  <c:v>12-02-2026</c:v>
                </c:pt>
                <c:pt idx="11">
                  <c:v>13-02-2026</c:v>
                </c:pt>
                <c:pt idx="12">
                  <c:v>14-02-2026</c:v>
                </c:pt>
                <c:pt idx="13">
                  <c:v>15-02-2026</c:v>
                </c:pt>
                <c:pt idx="14">
                  <c:v>16-02-2026</c:v>
                </c:pt>
                <c:pt idx="15">
                  <c:v>17-02-2026</c:v>
                </c:pt>
                <c:pt idx="16">
                  <c:v>18-02-2026</c:v>
                </c:pt>
                <c:pt idx="17">
                  <c:v>19-02-2026</c:v>
                </c:pt>
                <c:pt idx="18">
                  <c:v>20-02-2026</c:v>
                </c:pt>
                <c:pt idx="19">
                  <c:v>21-02-2026</c:v>
                </c:pt>
                <c:pt idx="20">
                  <c:v>22-02-2026</c:v>
                </c:pt>
                <c:pt idx="21">
                  <c:v>23-02-2026</c:v>
                </c:pt>
                <c:pt idx="22">
                  <c:v>24-02-2026</c:v>
                </c:pt>
                <c:pt idx="23">
                  <c:v>25-02-2026</c:v>
                </c:pt>
                <c:pt idx="24">
                  <c:v>26-02-2026</c:v>
                </c:pt>
                <c:pt idx="25">
                  <c:v>27-02-2026</c:v>
                </c:pt>
                <c:pt idx="26">
                  <c:v>28-02-2026</c:v>
                </c:pt>
                <c:pt idx="27">
                  <c:v>01-03-2026</c:v>
                </c:pt>
                <c:pt idx="28">
                  <c:v>02-03-2026</c:v>
                </c:pt>
              </c:strCache>
            </c:strRef>
          </c:cat>
          <c:val>
            <c:numRef>
              <c:f>'Pivot table-4'!$B$4:$B$33</c:f>
              <c:numCache>
                <c:formatCode>General</c:formatCode>
                <c:ptCount val="29"/>
                <c:pt idx="0">
                  <c:v>40000</c:v>
                </c:pt>
                <c:pt idx="1">
                  <c:v>45000</c:v>
                </c:pt>
                <c:pt idx="2">
                  <c:v>6000</c:v>
                </c:pt>
                <c:pt idx="3">
                  <c:v>3200</c:v>
                </c:pt>
                <c:pt idx="4">
                  <c:v>5000</c:v>
                </c:pt>
                <c:pt idx="5">
                  <c:v>5000</c:v>
                </c:pt>
                <c:pt idx="6">
                  <c:v>4500</c:v>
                </c:pt>
                <c:pt idx="7">
                  <c:v>52000</c:v>
                </c:pt>
                <c:pt idx="8">
                  <c:v>7000</c:v>
                </c:pt>
                <c:pt idx="9">
                  <c:v>22000</c:v>
                </c:pt>
                <c:pt idx="10">
                  <c:v>32000</c:v>
                </c:pt>
                <c:pt idx="11">
                  <c:v>9600</c:v>
                </c:pt>
                <c:pt idx="12">
                  <c:v>4500</c:v>
                </c:pt>
                <c:pt idx="13">
                  <c:v>9000</c:v>
                </c:pt>
                <c:pt idx="14">
                  <c:v>4000</c:v>
                </c:pt>
                <c:pt idx="15">
                  <c:v>51000</c:v>
                </c:pt>
                <c:pt idx="16">
                  <c:v>42000</c:v>
                </c:pt>
                <c:pt idx="17">
                  <c:v>3200</c:v>
                </c:pt>
                <c:pt idx="18">
                  <c:v>31000</c:v>
                </c:pt>
                <c:pt idx="19">
                  <c:v>5200</c:v>
                </c:pt>
                <c:pt idx="20">
                  <c:v>7200</c:v>
                </c:pt>
                <c:pt idx="21">
                  <c:v>2550</c:v>
                </c:pt>
                <c:pt idx="22">
                  <c:v>5600</c:v>
                </c:pt>
                <c:pt idx="23">
                  <c:v>53000</c:v>
                </c:pt>
                <c:pt idx="24">
                  <c:v>19500</c:v>
                </c:pt>
                <c:pt idx="25">
                  <c:v>6800</c:v>
                </c:pt>
                <c:pt idx="26">
                  <c:v>5100</c:v>
                </c:pt>
                <c:pt idx="27">
                  <c:v>31600</c:v>
                </c:pt>
                <c:pt idx="28">
                  <c:v>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C-48C4-A7F8-7057CABE6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666495"/>
        <c:axId val="1662661215"/>
      </c:lineChart>
      <c:catAx>
        <c:axId val="166266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61215"/>
        <c:crosses val="autoZero"/>
        <c:auto val="1"/>
        <c:lblAlgn val="ctr"/>
        <c:lblOffset val="100"/>
        <c:noMultiLvlLbl val="0"/>
      </c:catAx>
      <c:valAx>
        <c:axId val="166266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6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2</xdr:row>
      <xdr:rowOff>30480</xdr:rowOff>
    </xdr:from>
    <xdr:to>
      <xdr:col>0</xdr:col>
      <xdr:colOff>4419600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352D8-95B9-4955-86E1-E780423FF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4770120</xdr:colOff>
      <xdr:row>2</xdr:row>
      <xdr:rowOff>15240</xdr:rowOff>
    </xdr:from>
    <xdr:to>
      <xdr:col>4</xdr:col>
      <xdr:colOff>449580</xdr:colOff>
      <xdr:row>14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C1FCE6-038C-4498-ADBF-1293EFA12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586740</xdr:colOff>
      <xdr:row>2</xdr:row>
      <xdr:rowOff>7620</xdr:rowOff>
    </xdr:from>
    <xdr:to>
      <xdr:col>12</xdr:col>
      <xdr:colOff>190500</xdr:colOff>
      <xdr:row>16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F3E72C-2E2E-43B1-A2BC-51152F7D3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1</xdr:row>
      <xdr:rowOff>114300</xdr:rowOff>
    </xdr:from>
    <xdr:to>
      <xdr:col>0</xdr:col>
      <xdr:colOff>6583680</xdr:colOff>
      <xdr:row>20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5BEEA4-F823-4EDF-8441-1945800D5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6751320</xdr:colOff>
      <xdr:row>1</xdr:row>
      <xdr:rowOff>99060</xdr:rowOff>
    </xdr:from>
    <xdr:to>
      <xdr:col>6</xdr:col>
      <xdr:colOff>601980</xdr:colOff>
      <xdr:row>23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C7957E-94DB-40B7-971A-FC5B76C8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nalya N" refreshedDate="46083.083120370371" createdVersion="8" refreshedVersion="8" minRefreshableVersion="3" recordCount="30" xr:uid="{D2C11333-AA28-4320-B8A3-F7642024696B}">
  <cacheSource type="worksheet">
    <worksheetSource ref="A1:I31" sheet="Sales_Data"/>
  </cacheSource>
  <cacheFields count="9">
    <cacheField name="Order_ID" numFmtId="0">
      <sharedItems containsSemiMixedTypes="0" containsString="0" containsNumber="1" containsInteger="1" minValue="1001" maxValue="1030" count="3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</sharedItems>
    </cacheField>
    <cacheField name="Date" numFmtId="14">
      <sharedItems containsSemiMixedTypes="0" containsNonDate="0" containsDate="1" containsString="0" minDate="2026-02-01T00:00:00" maxDate="2026-03-03T00:00:00"/>
    </cacheField>
    <cacheField name="Customer_Name" numFmtId="0">
      <sharedItems/>
    </cacheField>
    <cacheField name="City" numFmtId="0">
      <sharedItems count="5">
        <s v="Chennai"/>
        <s v="Salem"/>
        <s v="Bangalore"/>
        <s v="Coimbatore"/>
        <s v="Madurai"/>
      </sharedItems>
    </cacheField>
    <cacheField name="Product" numFmtId="0">
      <sharedItems/>
    </cacheField>
    <cacheField name="Category" numFmtId="0">
      <sharedItems count="3">
        <s v="Electronics"/>
        <s v="Fashion"/>
        <s v="Accessories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800" maxValue="53000"/>
    </cacheField>
    <cacheField name="Total_Sales" numFmtId="0">
      <sharedItems containsSemiMixedTypes="0" containsString="0" containsNumber="1" containsInteger="1" minValue="2550" maxValue="53000" count="27">
        <n v="50000"/>
        <n v="40000"/>
        <n v="45000"/>
        <n v="6000"/>
        <n v="3200"/>
        <n v="5000"/>
        <n v="4500"/>
        <n v="52000"/>
        <n v="7000"/>
        <n v="22000"/>
        <n v="32000"/>
        <n v="9600"/>
        <n v="9000"/>
        <n v="4000"/>
        <n v="51000"/>
        <n v="42000"/>
        <n v="31000"/>
        <n v="5200"/>
        <n v="7200"/>
        <n v="2550"/>
        <n v="5600"/>
        <n v="53000"/>
        <n v="19500"/>
        <n v="6800"/>
        <n v="5100"/>
        <n v="31600"/>
        <n v="49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nalya N" refreshedDate="46083.109456828701" createdVersion="8" refreshedVersion="8" minRefreshableVersion="3" recordCount="30" xr:uid="{F662CB4F-6AB9-48E4-A799-FAE1D131B901}">
  <cacheSource type="worksheet">
    <worksheetSource ref="A1:J31" sheet="Sales_Data"/>
  </cacheSource>
  <cacheFields count="10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6-02-01T00:00:00" maxDate="2026-03-03T00:00:00" count="30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</sharedItems>
    </cacheField>
    <cacheField name="Customer_Name" numFmtId="0">
      <sharedItems/>
    </cacheField>
    <cacheField name="City" numFmtId="0">
      <sharedItems/>
    </cacheField>
    <cacheField name="Product" numFmtId="0">
      <sharedItems count="8">
        <s v="Laptop"/>
        <s v="Phone"/>
        <s v="Tablet"/>
        <s v="Shoes"/>
        <s v="T-Shirt"/>
        <s v="Watch"/>
        <s v="Headphones"/>
        <s v="Bag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800" maxValue="53000"/>
    </cacheField>
    <cacheField name="Total_Sales" numFmtId="0">
      <sharedItems containsSemiMixedTypes="0" containsString="0" containsNumber="1" containsInteger="1" minValue="2550" maxValue="53000"/>
    </cacheField>
    <cacheField name="Lookup_Price" numFmtId="0">
      <sharedItems containsString="0" containsBlank="1" containsNumber="1" containsInteger="1" minValue="52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d v="2026-02-01T00:00:00"/>
    <s v="Amit"/>
    <x v="0"/>
    <s v="Laptop"/>
    <x v="0"/>
    <n v="1"/>
    <n v="50000"/>
    <x v="0"/>
  </r>
  <r>
    <x v="1"/>
    <d v="2026-02-02T00:00:00"/>
    <s v="Riya"/>
    <x v="1"/>
    <s v="Phone"/>
    <x v="0"/>
    <n v="2"/>
    <n v="20000"/>
    <x v="1"/>
  </r>
  <r>
    <x v="2"/>
    <d v="2026-02-03T00:00:00"/>
    <s v="John"/>
    <x v="2"/>
    <s v="Tablet"/>
    <x v="0"/>
    <n v="3"/>
    <n v="15000"/>
    <x v="2"/>
  </r>
  <r>
    <x v="3"/>
    <d v="2026-02-04T00:00:00"/>
    <s v="Sneha"/>
    <x v="0"/>
    <s v="Shoes"/>
    <x v="1"/>
    <n v="2"/>
    <n v="3000"/>
    <x v="3"/>
  </r>
  <r>
    <x v="4"/>
    <d v="2026-02-05T00:00:00"/>
    <s v="Karan"/>
    <x v="3"/>
    <s v="T-Shirt"/>
    <x v="1"/>
    <n v="4"/>
    <n v="800"/>
    <x v="4"/>
  </r>
  <r>
    <x v="5"/>
    <d v="2026-02-06T00:00:00"/>
    <s v="Meena"/>
    <x v="1"/>
    <s v="Watch"/>
    <x v="2"/>
    <n v="1"/>
    <n v="5000"/>
    <x v="5"/>
  </r>
  <r>
    <x v="6"/>
    <d v="2026-02-07T00:00:00"/>
    <s v="Arun"/>
    <x v="4"/>
    <s v="Headphones"/>
    <x v="0"/>
    <n v="2"/>
    <n v="2500"/>
    <x v="5"/>
  </r>
  <r>
    <x v="7"/>
    <d v="2026-02-08T00:00:00"/>
    <s v="Priya"/>
    <x v="0"/>
    <s v="Bag"/>
    <x v="2"/>
    <n v="3"/>
    <n v="1500"/>
    <x v="6"/>
  </r>
  <r>
    <x v="8"/>
    <d v="2026-02-09T00:00:00"/>
    <s v="Rahul"/>
    <x v="2"/>
    <s v="Laptop"/>
    <x v="0"/>
    <n v="1"/>
    <n v="52000"/>
    <x v="7"/>
  </r>
  <r>
    <x v="9"/>
    <d v="2026-02-10T00:00:00"/>
    <s v="Divya"/>
    <x v="1"/>
    <s v="Shoes"/>
    <x v="1"/>
    <n v="2"/>
    <n v="3500"/>
    <x v="8"/>
  </r>
  <r>
    <x v="10"/>
    <d v="2026-02-11T00:00:00"/>
    <s v="Vikram"/>
    <x v="3"/>
    <s v="Phone"/>
    <x v="0"/>
    <n v="1"/>
    <n v="22000"/>
    <x v="9"/>
  </r>
  <r>
    <x v="11"/>
    <d v="2026-02-12T00:00:00"/>
    <s v="Anjali"/>
    <x v="0"/>
    <s v="Tablet"/>
    <x v="0"/>
    <n v="2"/>
    <n v="16000"/>
    <x v="10"/>
  </r>
  <r>
    <x v="12"/>
    <d v="2026-02-13T00:00:00"/>
    <s v="Suresh"/>
    <x v="4"/>
    <s v="Watch"/>
    <x v="2"/>
    <n v="2"/>
    <n v="4800"/>
    <x v="11"/>
  </r>
  <r>
    <x v="13"/>
    <d v="2026-02-14T00:00:00"/>
    <s v="Latha"/>
    <x v="1"/>
    <s v="T-Shirt"/>
    <x v="1"/>
    <n v="5"/>
    <n v="900"/>
    <x v="6"/>
  </r>
  <r>
    <x v="14"/>
    <d v="2026-02-15T00:00:00"/>
    <s v="Naveen"/>
    <x v="2"/>
    <s v="Headphones"/>
    <x v="0"/>
    <n v="3"/>
    <n v="3000"/>
    <x v="12"/>
  </r>
  <r>
    <x v="15"/>
    <d v="2026-02-16T00:00:00"/>
    <s v="Pooja"/>
    <x v="0"/>
    <s v="Bag"/>
    <x v="2"/>
    <n v="2"/>
    <n v="2000"/>
    <x v="13"/>
  </r>
  <r>
    <x v="16"/>
    <d v="2026-02-17T00:00:00"/>
    <s v="Ajay"/>
    <x v="3"/>
    <s v="Laptop"/>
    <x v="0"/>
    <n v="1"/>
    <n v="51000"/>
    <x v="14"/>
  </r>
  <r>
    <x v="17"/>
    <d v="2026-02-18T00:00:00"/>
    <s v="Kavya"/>
    <x v="1"/>
    <s v="Phone"/>
    <x v="0"/>
    <n v="2"/>
    <n v="21000"/>
    <x v="15"/>
  </r>
  <r>
    <x v="18"/>
    <d v="2026-02-19T00:00:00"/>
    <s v="Ramesh"/>
    <x v="4"/>
    <s v="Shoes"/>
    <x v="1"/>
    <n v="1"/>
    <n v="3200"/>
    <x v="4"/>
  </r>
  <r>
    <x v="19"/>
    <d v="2026-02-20T00:00:00"/>
    <s v="Deepa"/>
    <x v="0"/>
    <s v="Tablet"/>
    <x v="0"/>
    <n v="2"/>
    <n v="15500"/>
    <x v="16"/>
  </r>
  <r>
    <x v="20"/>
    <d v="2026-02-21T00:00:00"/>
    <s v="Santhosh"/>
    <x v="2"/>
    <s v="Watch"/>
    <x v="2"/>
    <n v="1"/>
    <n v="5200"/>
    <x v="17"/>
  </r>
  <r>
    <x v="21"/>
    <d v="2026-02-22T00:00:00"/>
    <s v="Neha"/>
    <x v="1"/>
    <s v="Bag"/>
    <x v="2"/>
    <n v="4"/>
    <n v="1800"/>
    <x v="18"/>
  </r>
  <r>
    <x v="22"/>
    <d v="2026-02-23T00:00:00"/>
    <s v="Imran"/>
    <x v="3"/>
    <s v="T-Shirt"/>
    <x v="1"/>
    <n v="3"/>
    <n v="850"/>
    <x v="19"/>
  </r>
  <r>
    <x v="23"/>
    <d v="2026-02-24T00:00:00"/>
    <s v="Shruti"/>
    <x v="0"/>
    <s v="Headphones"/>
    <x v="0"/>
    <n v="2"/>
    <n v="2800"/>
    <x v="20"/>
  </r>
  <r>
    <x v="24"/>
    <d v="2026-02-25T00:00:00"/>
    <s v="Manoj"/>
    <x v="4"/>
    <s v="Laptop"/>
    <x v="0"/>
    <n v="1"/>
    <n v="53000"/>
    <x v="21"/>
  </r>
  <r>
    <x v="25"/>
    <d v="2026-02-26T00:00:00"/>
    <s v="Aishwarya"/>
    <x v="1"/>
    <s v="Phone"/>
    <x v="0"/>
    <n v="1"/>
    <n v="19500"/>
    <x v="22"/>
  </r>
  <r>
    <x v="26"/>
    <d v="2026-02-27T00:00:00"/>
    <s v="Rohit"/>
    <x v="2"/>
    <s v="Shoes"/>
    <x v="1"/>
    <n v="2"/>
    <n v="3400"/>
    <x v="23"/>
  </r>
  <r>
    <x v="27"/>
    <d v="2026-02-28T00:00:00"/>
    <s v="Keerthi"/>
    <x v="0"/>
    <s v="Bag"/>
    <x v="2"/>
    <n v="3"/>
    <n v="1700"/>
    <x v="24"/>
  </r>
  <r>
    <x v="28"/>
    <d v="2026-03-01T00:00:00"/>
    <s v="Harish"/>
    <x v="3"/>
    <s v="Tablet"/>
    <x v="0"/>
    <n v="2"/>
    <n v="15800"/>
    <x v="25"/>
  </r>
  <r>
    <x v="29"/>
    <d v="2026-03-02T00:00:00"/>
    <s v="Nisha"/>
    <x v="1"/>
    <s v="Watch"/>
    <x v="2"/>
    <n v="1"/>
    <n v="4900"/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s v="Amit"/>
    <s v="Chennai"/>
    <x v="0"/>
    <s v="Electronics"/>
    <n v="1"/>
    <n v="50000"/>
    <n v="50000"/>
    <n v="52000"/>
  </r>
  <r>
    <n v="1002"/>
    <x v="1"/>
    <s v="Riya"/>
    <s v="Salem"/>
    <x v="1"/>
    <s v="Electronics"/>
    <n v="2"/>
    <n v="20000"/>
    <n v="40000"/>
    <m/>
  </r>
  <r>
    <n v="1003"/>
    <x v="2"/>
    <s v="John"/>
    <s v="Bangalore"/>
    <x v="2"/>
    <s v="Electronics"/>
    <n v="3"/>
    <n v="15000"/>
    <n v="45000"/>
    <m/>
  </r>
  <r>
    <n v="1004"/>
    <x v="3"/>
    <s v="Sneha"/>
    <s v="Chennai"/>
    <x v="3"/>
    <s v="Fashion"/>
    <n v="2"/>
    <n v="3000"/>
    <n v="6000"/>
    <m/>
  </r>
  <r>
    <n v="1005"/>
    <x v="4"/>
    <s v="Karan"/>
    <s v="Coimbatore"/>
    <x v="4"/>
    <s v="Fashion"/>
    <n v="4"/>
    <n v="800"/>
    <n v="3200"/>
    <m/>
  </r>
  <r>
    <n v="1006"/>
    <x v="5"/>
    <s v="Meena"/>
    <s v="Salem"/>
    <x v="5"/>
    <s v="Accessories"/>
    <n v="1"/>
    <n v="5000"/>
    <n v="5000"/>
    <m/>
  </r>
  <r>
    <n v="1007"/>
    <x v="6"/>
    <s v="Arun"/>
    <s v="Madurai"/>
    <x v="6"/>
    <s v="Electronics"/>
    <n v="2"/>
    <n v="2500"/>
    <n v="5000"/>
    <m/>
  </r>
  <r>
    <n v="1008"/>
    <x v="7"/>
    <s v="Priya"/>
    <s v="Chennai"/>
    <x v="7"/>
    <s v="Accessories"/>
    <n v="3"/>
    <n v="1500"/>
    <n v="4500"/>
    <m/>
  </r>
  <r>
    <n v="1009"/>
    <x v="8"/>
    <s v="Rahul"/>
    <s v="Bangalore"/>
    <x v="0"/>
    <s v="Electronics"/>
    <n v="1"/>
    <n v="52000"/>
    <n v="52000"/>
    <m/>
  </r>
  <r>
    <n v="1010"/>
    <x v="9"/>
    <s v="Divya"/>
    <s v="Salem"/>
    <x v="3"/>
    <s v="Fashion"/>
    <n v="2"/>
    <n v="3500"/>
    <n v="7000"/>
    <m/>
  </r>
  <r>
    <n v="1011"/>
    <x v="10"/>
    <s v="Vikram"/>
    <s v="Coimbatore"/>
    <x v="1"/>
    <s v="Electronics"/>
    <n v="1"/>
    <n v="22000"/>
    <n v="22000"/>
    <m/>
  </r>
  <r>
    <n v="1012"/>
    <x v="11"/>
    <s v="Anjali"/>
    <s v="Chennai"/>
    <x v="2"/>
    <s v="Electronics"/>
    <n v="2"/>
    <n v="16000"/>
    <n v="32000"/>
    <m/>
  </r>
  <r>
    <n v="1013"/>
    <x v="12"/>
    <s v="Suresh"/>
    <s v="Madurai"/>
    <x v="5"/>
    <s v="Accessories"/>
    <n v="2"/>
    <n v="4800"/>
    <n v="9600"/>
    <m/>
  </r>
  <r>
    <n v="1014"/>
    <x v="13"/>
    <s v="Latha"/>
    <s v="Salem"/>
    <x v="4"/>
    <s v="Fashion"/>
    <n v="5"/>
    <n v="900"/>
    <n v="4500"/>
    <m/>
  </r>
  <r>
    <n v="1015"/>
    <x v="14"/>
    <s v="Naveen"/>
    <s v="Bangalore"/>
    <x v="6"/>
    <s v="Electronics"/>
    <n v="3"/>
    <n v="3000"/>
    <n v="9000"/>
    <m/>
  </r>
  <r>
    <n v="1016"/>
    <x v="15"/>
    <s v="Pooja"/>
    <s v="Chennai"/>
    <x v="7"/>
    <s v="Accessories"/>
    <n v="2"/>
    <n v="2000"/>
    <n v="4000"/>
    <m/>
  </r>
  <r>
    <n v="1017"/>
    <x v="16"/>
    <s v="Ajay"/>
    <s v="Coimbatore"/>
    <x v="0"/>
    <s v="Electronics"/>
    <n v="1"/>
    <n v="51000"/>
    <n v="51000"/>
    <m/>
  </r>
  <r>
    <n v="1018"/>
    <x v="17"/>
    <s v="Kavya"/>
    <s v="Salem"/>
    <x v="1"/>
    <s v="Electronics"/>
    <n v="2"/>
    <n v="21000"/>
    <n v="42000"/>
    <m/>
  </r>
  <r>
    <n v="1019"/>
    <x v="18"/>
    <s v="Ramesh"/>
    <s v="Madurai"/>
    <x v="3"/>
    <s v="Fashion"/>
    <n v="1"/>
    <n v="3200"/>
    <n v="3200"/>
    <m/>
  </r>
  <r>
    <n v="1020"/>
    <x v="19"/>
    <s v="Deepa"/>
    <s v="Chennai"/>
    <x v="2"/>
    <s v="Electronics"/>
    <n v="2"/>
    <n v="15500"/>
    <n v="31000"/>
    <m/>
  </r>
  <r>
    <n v="1021"/>
    <x v="20"/>
    <s v="Santhosh"/>
    <s v="Bangalore"/>
    <x v="5"/>
    <s v="Accessories"/>
    <n v="1"/>
    <n v="5200"/>
    <n v="5200"/>
    <m/>
  </r>
  <r>
    <n v="1022"/>
    <x v="21"/>
    <s v="Neha"/>
    <s v="Salem"/>
    <x v="7"/>
    <s v="Accessories"/>
    <n v="4"/>
    <n v="1800"/>
    <n v="7200"/>
    <m/>
  </r>
  <r>
    <n v="1023"/>
    <x v="22"/>
    <s v="Imran"/>
    <s v="Coimbatore"/>
    <x v="4"/>
    <s v="Fashion"/>
    <n v="3"/>
    <n v="850"/>
    <n v="2550"/>
    <m/>
  </r>
  <r>
    <n v="1024"/>
    <x v="23"/>
    <s v="Shruti"/>
    <s v="Chennai"/>
    <x v="6"/>
    <s v="Electronics"/>
    <n v="2"/>
    <n v="2800"/>
    <n v="5600"/>
    <m/>
  </r>
  <r>
    <n v="1025"/>
    <x v="24"/>
    <s v="Manoj"/>
    <s v="Madurai"/>
    <x v="0"/>
    <s v="Electronics"/>
    <n v="1"/>
    <n v="53000"/>
    <n v="53000"/>
    <m/>
  </r>
  <r>
    <n v="1026"/>
    <x v="25"/>
    <s v="Aishwarya"/>
    <s v="Salem"/>
    <x v="1"/>
    <s v="Electronics"/>
    <n v="1"/>
    <n v="19500"/>
    <n v="19500"/>
    <m/>
  </r>
  <r>
    <n v="1027"/>
    <x v="26"/>
    <s v="Rohit"/>
    <s v="Bangalore"/>
    <x v="3"/>
    <s v="Fashion"/>
    <n v="2"/>
    <n v="3400"/>
    <n v="6800"/>
    <m/>
  </r>
  <r>
    <n v="1028"/>
    <x v="27"/>
    <s v="Keerthi"/>
    <s v="Chennai"/>
    <x v="7"/>
    <s v="Accessories"/>
    <n v="3"/>
    <n v="1700"/>
    <n v="5100"/>
    <m/>
  </r>
  <r>
    <n v="1029"/>
    <x v="28"/>
    <s v="Harish"/>
    <s v="Coimbatore"/>
    <x v="2"/>
    <s v="Electronics"/>
    <n v="2"/>
    <n v="15800"/>
    <n v="31600"/>
    <m/>
  </r>
  <r>
    <n v="1030"/>
    <x v="29"/>
    <s v="Nisha"/>
    <s v="Salem"/>
    <x v="5"/>
    <s v="Accessories"/>
    <n v="1"/>
    <n v="4900"/>
    <n v="49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6D31E-19FA-4328-A5CB-C6C55AA25A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>
      <items count="28">
        <item x="19"/>
        <item x="4"/>
        <item x="13"/>
        <item x="6"/>
        <item x="26"/>
        <item x="5"/>
        <item x="24"/>
        <item x="17"/>
        <item x="20"/>
        <item x="3"/>
        <item x="23"/>
        <item x="8"/>
        <item x="18"/>
        <item x="12"/>
        <item x="11"/>
        <item x="22"/>
        <item x="9"/>
        <item x="16"/>
        <item x="25"/>
        <item x="10"/>
        <item x="1"/>
        <item x="15"/>
        <item x="2"/>
        <item x="0"/>
        <item x="14"/>
        <item x="7"/>
        <item x="2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E89D0-D385-4605-BFC3-EAF15B6076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9">
    <pivotField showAll="0"/>
    <pivotField numFmtId="14"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8" baseField="0" baseItem="0"/>
  </dataFields>
  <chartFormats count="7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23102-B4F2-4710-BDB3-F8D722CB0479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2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>
      <items count="9">
        <item x="7"/>
        <item x="6"/>
        <item x="0"/>
        <item x="1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F34A5-F61F-4906-A32B-6978FD67021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3" firstHeaderRow="1" firstDataRow="1" firstDataCol="1"/>
  <pivotFields count="10">
    <pivotField showAll="0"/>
    <pivotField axis="axisRow" numFmtId="14" showAll="0">
      <items count="3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484957-0CCE-48E0-A257-7641EE145858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Customer_Name" tableColumnId="3"/>
      <queryTableField id="4" name="City" tableColumnId="4"/>
      <queryTableField id="5" name="Product" tableColumnId="5"/>
      <queryTableField id="6" name="Category" tableColumnId="6"/>
      <queryTableField id="7" name="Quantity" tableColumnId="7"/>
      <queryTableField id="8" name="Price" tableColumnId="8"/>
      <queryTableField id="9" name="Total_Sales" tableColumnId="9"/>
      <queryTableField id="10" name="Lookup_Price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363CE-0C77-4FEE-B59C-352845CD6009}" name="Table1" displayName="Table1" ref="A3:I10" totalsRowShown="0">
  <autoFilter ref="A3:I10" xr:uid="{D1D363CE-0C77-4FEE-B59C-352845CD6009}"/>
  <tableColumns count="9">
    <tableColumn id="1" xr3:uid="{8853EB59-5B30-447B-9235-3D8A15A95082}" name="Order_ID"/>
    <tableColumn id="2" xr3:uid="{C6B36BFB-B63F-4744-8A46-C1324FAF286B}" name="Date" dataDxfId="6"/>
    <tableColumn id="3" xr3:uid="{E29A54FB-DE1B-4B95-A9CC-716DDFE329CA}" name="Customer_Name"/>
    <tableColumn id="4" xr3:uid="{4669AADC-E808-4CAC-BC8C-0645B5B3B20A}" name="City"/>
    <tableColumn id="5" xr3:uid="{F72F07C2-8602-4719-9C1D-8885D25D65A4}" name="Product"/>
    <tableColumn id="6" xr3:uid="{BBC28ACA-894D-4AC0-B796-873D5FC01473}" name="Category"/>
    <tableColumn id="7" xr3:uid="{CDB07B28-3791-4BBB-968F-09766CE3E1F3}" name="Quantity"/>
    <tableColumn id="8" xr3:uid="{3D698A05-1048-40B4-8D29-7114141D1ADA}" name="Price"/>
    <tableColumn id="9" xr3:uid="{8198464C-C4CA-4DC0-970B-6AD8D0D3A8A0}" name="Total_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8E979F-A831-470B-B033-322D9543B540}" name="Table2_1" displayName="Table2_1" ref="A1:J31" tableType="queryTable" totalsRowShown="0">
  <autoFilter ref="A1:J31" xr:uid="{288E979F-A831-470B-B033-322D9543B540}"/>
  <tableColumns count="10">
    <tableColumn id="1" xr3:uid="{8527C63E-693D-44BB-B248-C4A81BCBC1B8}" uniqueName="1" name="Order_ID" queryTableFieldId="1"/>
    <tableColumn id="2" xr3:uid="{DD6ABDA3-962A-4981-880D-4DD090FFC675}" uniqueName="2" name="Date" queryTableFieldId="2" dataDxfId="5"/>
    <tableColumn id="3" xr3:uid="{B2160964-2DB6-4ADB-B74C-FACFCA7B55A1}" uniqueName="3" name="Customer_Name" queryTableFieldId="3" dataDxfId="4"/>
    <tableColumn id="4" xr3:uid="{707FA165-B441-4758-B730-02D0DA4D576E}" uniqueName="4" name="City" queryTableFieldId="4" dataDxfId="3"/>
    <tableColumn id="5" xr3:uid="{D2CE9771-D5C2-4FF8-A58A-65677A7C4D1B}" uniqueName="5" name="Product" queryTableFieldId="5" dataDxfId="2"/>
    <tableColumn id="6" xr3:uid="{699E3573-94AC-4A46-B77B-34E19B54C7E8}" uniqueName="6" name="Category" queryTableFieldId="6" dataDxfId="1"/>
    <tableColumn id="7" xr3:uid="{44DD7F40-A6D3-433B-BE1A-18DBB8AB3B9B}" uniqueName="7" name="Quantity" queryTableFieldId="7"/>
    <tableColumn id="8" xr3:uid="{FE9F6F8F-FE3C-4272-8ABB-270077267177}" uniqueName="8" name="Price" queryTableFieldId="8"/>
    <tableColumn id="9" xr3:uid="{3DBA7223-38D0-4C22-A3CB-A0C75A9FD993}" uniqueName="9" name="Total_Sales" queryTableFieldId="9"/>
    <tableColumn id="10" xr3:uid="{FF6CA16C-30B0-4A89-A118-BBD8A906DE4F}" uniqueName="10" name="Lookup_Pric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EC2ED1-44C9-40BA-85E9-723E6815ECC6}" name="Table2" displayName="Table2" ref="A1:J31" totalsRowShown="0">
  <autoFilter ref="A1:J31" xr:uid="{47EC2ED1-44C9-40BA-85E9-723E6815ECC6}"/>
  <tableColumns count="10">
    <tableColumn id="1" xr3:uid="{C9A1E7FB-DF79-470A-8C48-1C55DE47B929}" name="Order_ID"/>
    <tableColumn id="2" xr3:uid="{361F68F8-0A41-46A5-B089-A9871AAEEFF8}" name="Date" dataDxfId="0"/>
    <tableColumn id="3" xr3:uid="{CA6C0AA8-CDC6-43EC-A4EC-A0F864283BD1}" name="Customer_Name"/>
    <tableColumn id="4" xr3:uid="{A2730AAA-3651-414A-B723-6FD1B6C7A460}" name="City"/>
    <tableColumn id="5" xr3:uid="{8255E3BA-BE7C-4016-BB4D-7B2C721468F3}" name="Product"/>
    <tableColumn id="6" xr3:uid="{8A53590D-62A8-44A3-AF54-D73902D6F324}" name="Category"/>
    <tableColumn id="7" xr3:uid="{0136DFFB-437B-478C-8A24-8C6876BDDF55}" name="Quantity"/>
    <tableColumn id="8" xr3:uid="{E78E4A28-4A3E-4C9F-AC78-A4DCADB4B194}" name="Price"/>
    <tableColumn id="9" xr3:uid="{C03FE26A-AB8D-431F-A58A-EB21BB78B928}" name="Total_Sales"/>
    <tableColumn id="10" xr3:uid="{85D22E85-E462-413A-A8E9-61FD0078A31A}" name="Lookup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9970-AFB8-4996-A527-29C6A32D661F}">
  <dimension ref="A1:I10"/>
  <sheetViews>
    <sheetView workbookViewId="0">
      <selection activeCell="A4" sqref="A4:I10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17.44140625" bestFit="1" customWidth="1"/>
    <col min="4" max="4" width="10.6640625" bestFit="1" customWidth="1"/>
    <col min="5" max="5" width="9.88671875" bestFit="1" customWidth="1"/>
    <col min="6" max="6" width="10.77734375" bestFit="1" customWidth="1"/>
    <col min="7" max="7" width="10.5546875" bestFit="1" customWidth="1"/>
    <col min="8" max="8" width="9" bestFit="1" customWidth="1"/>
    <col min="9" max="9" width="12.6640625" bestFit="1" customWidth="1"/>
  </cols>
  <sheetData>
    <row r="1" spans="1:9" x14ac:dyDescent="0.3">
      <c r="A1" s="4" t="s">
        <v>60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>
        <v>1027</v>
      </c>
      <c r="B4" s="1">
        <v>46080</v>
      </c>
      <c r="C4" t="s">
        <v>51</v>
      </c>
      <c r="D4" t="s">
        <v>17</v>
      </c>
      <c r="E4" t="s">
        <v>20</v>
      </c>
      <c r="F4" t="s">
        <v>21</v>
      </c>
      <c r="G4">
        <v>2</v>
      </c>
      <c r="H4">
        <v>3400</v>
      </c>
      <c r="I4">
        <v>6800</v>
      </c>
    </row>
    <row r="5" spans="1:9" x14ac:dyDescent="0.3">
      <c r="A5">
        <v>1023</v>
      </c>
      <c r="B5" s="1">
        <v>46076</v>
      </c>
      <c r="C5" t="s">
        <v>47</v>
      </c>
      <c r="D5" t="s">
        <v>23</v>
      </c>
      <c r="E5" t="s">
        <v>24</v>
      </c>
      <c r="F5" t="s">
        <v>21</v>
      </c>
      <c r="G5">
        <v>3</v>
      </c>
      <c r="H5">
        <v>850</v>
      </c>
      <c r="I5">
        <v>2550</v>
      </c>
    </row>
    <row r="6" spans="1:9" x14ac:dyDescent="0.3">
      <c r="A6">
        <v>1019</v>
      </c>
      <c r="B6" s="1">
        <v>46072</v>
      </c>
      <c r="C6" t="s">
        <v>43</v>
      </c>
      <c r="D6" t="s">
        <v>29</v>
      </c>
      <c r="E6" t="s">
        <v>20</v>
      </c>
      <c r="F6" t="s">
        <v>21</v>
      </c>
      <c r="G6">
        <v>1</v>
      </c>
      <c r="H6">
        <v>3200</v>
      </c>
      <c r="I6">
        <v>3200</v>
      </c>
    </row>
    <row r="7" spans="1:9" x14ac:dyDescent="0.3">
      <c r="A7">
        <v>1004</v>
      </c>
      <c r="B7" s="1">
        <v>46057</v>
      </c>
      <c r="C7" t="s">
        <v>19</v>
      </c>
      <c r="D7" t="s">
        <v>10</v>
      </c>
      <c r="E7" t="s">
        <v>20</v>
      </c>
      <c r="F7" t="s">
        <v>21</v>
      </c>
      <c r="G7">
        <v>2</v>
      </c>
      <c r="H7">
        <v>3000</v>
      </c>
      <c r="I7">
        <v>6000</v>
      </c>
    </row>
    <row r="8" spans="1:9" x14ac:dyDescent="0.3">
      <c r="A8">
        <v>1005</v>
      </c>
      <c r="B8" s="1">
        <v>46058</v>
      </c>
      <c r="C8" t="s">
        <v>22</v>
      </c>
      <c r="D8" t="s">
        <v>23</v>
      </c>
      <c r="E8" t="s">
        <v>24</v>
      </c>
      <c r="F8" t="s">
        <v>21</v>
      </c>
      <c r="G8">
        <v>4</v>
      </c>
      <c r="H8">
        <v>800</v>
      </c>
      <c r="I8">
        <v>3200</v>
      </c>
    </row>
    <row r="9" spans="1:9" x14ac:dyDescent="0.3">
      <c r="A9">
        <v>1014</v>
      </c>
      <c r="B9" s="1">
        <v>46067</v>
      </c>
      <c r="C9" t="s">
        <v>38</v>
      </c>
      <c r="D9" t="s">
        <v>14</v>
      </c>
      <c r="E9" t="s">
        <v>24</v>
      </c>
      <c r="F9" t="s">
        <v>21</v>
      </c>
      <c r="G9">
        <v>5</v>
      </c>
      <c r="H9">
        <v>900</v>
      </c>
      <c r="I9">
        <v>4500</v>
      </c>
    </row>
    <row r="10" spans="1:9" x14ac:dyDescent="0.3">
      <c r="A10">
        <v>1010</v>
      </c>
      <c r="B10" s="1">
        <v>46063</v>
      </c>
      <c r="C10" t="s">
        <v>34</v>
      </c>
      <c r="D10" t="s">
        <v>14</v>
      </c>
      <c r="E10" t="s">
        <v>20</v>
      </c>
      <c r="F10" t="s">
        <v>21</v>
      </c>
      <c r="G10">
        <v>2</v>
      </c>
      <c r="H10">
        <v>3500</v>
      </c>
      <c r="I10">
        <v>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DBDB-8CD7-48DF-8148-C0FD0DE07552}">
  <dimension ref="A3:B7"/>
  <sheetViews>
    <sheetView workbookViewId="0">
      <selection activeCell="G10" sqref="G10"/>
    </sheetView>
  </sheetViews>
  <sheetFormatPr defaultRowHeight="14.4" x14ac:dyDescent="0.3"/>
  <cols>
    <col min="1" max="1" width="12.5546875" bestFit="1" customWidth="1"/>
    <col min="2" max="2" width="17" bestFit="1" customWidth="1"/>
    <col min="3" max="16" width="5" bestFit="1" customWidth="1"/>
    <col min="17" max="28" width="6" bestFit="1" customWidth="1"/>
    <col min="29" max="29" width="10.77734375" bestFit="1" customWidth="1"/>
  </cols>
  <sheetData>
    <row r="3" spans="1:2" x14ac:dyDescent="0.3">
      <c r="A3" s="2" t="s">
        <v>56</v>
      </c>
      <c r="B3" t="s">
        <v>58</v>
      </c>
    </row>
    <row r="4" spans="1:2" x14ac:dyDescent="0.3">
      <c r="A4" s="3" t="s">
        <v>27</v>
      </c>
      <c r="B4">
        <v>45500</v>
      </c>
    </row>
    <row r="5" spans="1:2" x14ac:dyDescent="0.3">
      <c r="A5" s="3" t="s">
        <v>12</v>
      </c>
      <c r="B5">
        <v>488700</v>
      </c>
    </row>
    <row r="6" spans="1:2" x14ac:dyDescent="0.3">
      <c r="A6" s="3" t="s">
        <v>21</v>
      </c>
      <c r="B6">
        <v>33250</v>
      </c>
    </row>
    <row r="7" spans="1:2" x14ac:dyDescent="0.3">
      <c r="A7" s="3" t="s">
        <v>57</v>
      </c>
      <c r="B7">
        <v>567450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07F9-5DD0-4E5B-93E5-C084EB6F198F}">
  <dimension ref="A3:B9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56</v>
      </c>
      <c r="B3" t="s">
        <v>58</v>
      </c>
    </row>
    <row r="4" spans="1:2" x14ac:dyDescent="0.3">
      <c r="A4" s="3" t="s">
        <v>17</v>
      </c>
      <c r="B4">
        <v>118000</v>
      </c>
    </row>
    <row r="5" spans="1:2" x14ac:dyDescent="0.3">
      <c r="A5" s="3" t="s">
        <v>10</v>
      </c>
      <c r="B5">
        <v>138200</v>
      </c>
    </row>
    <row r="6" spans="1:2" x14ac:dyDescent="0.3">
      <c r="A6" s="3" t="s">
        <v>23</v>
      </c>
      <c r="B6">
        <v>110350</v>
      </c>
    </row>
    <row r="7" spans="1:2" x14ac:dyDescent="0.3">
      <c r="A7" s="3" t="s">
        <v>29</v>
      </c>
      <c r="B7">
        <v>70800</v>
      </c>
    </row>
    <row r="8" spans="1:2" x14ac:dyDescent="0.3">
      <c r="A8" s="3" t="s">
        <v>14</v>
      </c>
      <c r="B8">
        <v>130100</v>
      </c>
    </row>
    <row r="9" spans="1:2" x14ac:dyDescent="0.3">
      <c r="A9" s="3" t="s">
        <v>57</v>
      </c>
      <c r="B9">
        <v>567450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1A8D-CE30-46A8-9865-D6AE52C87133}">
  <dimension ref="A1:F1"/>
  <sheetViews>
    <sheetView workbookViewId="0">
      <selection activeCell="M26" sqref="M26"/>
    </sheetView>
  </sheetViews>
  <sheetFormatPr defaultRowHeight="14.4" x14ac:dyDescent="0.3"/>
  <cols>
    <col min="1" max="1" width="101.5546875" customWidth="1"/>
  </cols>
  <sheetData>
    <row r="1" spans="1:6" ht="34.200000000000003" customHeight="1" x14ac:dyDescent="0.5">
      <c r="A1" s="11" t="s">
        <v>62</v>
      </c>
      <c r="B1" s="6"/>
      <c r="C1" s="6"/>
      <c r="D1" s="6"/>
      <c r="E1" s="6"/>
      <c r="F1" s="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2EA4-3DE7-4862-BC06-3AFCF32C8D01}">
  <dimension ref="A1:E1"/>
  <sheetViews>
    <sheetView workbookViewId="0">
      <selection activeCell="J26" sqref="J26"/>
    </sheetView>
  </sheetViews>
  <sheetFormatPr defaultRowHeight="14.4" x14ac:dyDescent="0.3"/>
  <cols>
    <col min="1" max="1" width="115" style="9" customWidth="1"/>
    <col min="5" max="5" width="25" customWidth="1"/>
  </cols>
  <sheetData>
    <row r="1" spans="1:5" ht="45" customHeight="1" x14ac:dyDescent="0.3">
      <c r="A1" s="10" t="s">
        <v>61</v>
      </c>
      <c r="E1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C274-860D-4F7E-A8F2-9F1CD81CF9B1}">
  <dimension ref="A1:B9"/>
  <sheetViews>
    <sheetView workbookViewId="0">
      <selection activeCell="C3" sqref="C3"/>
    </sheetView>
  </sheetViews>
  <sheetFormatPr defaultRowHeight="14.4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11</v>
      </c>
      <c r="B2">
        <v>52000</v>
      </c>
    </row>
    <row r="3" spans="1:2" x14ac:dyDescent="0.3">
      <c r="A3" t="s">
        <v>15</v>
      </c>
      <c r="B3">
        <v>21000</v>
      </c>
    </row>
    <row r="4" spans="1:2" x14ac:dyDescent="0.3">
      <c r="A4" t="s">
        <v>18</v>
      </c>
      <c r="B4">
        <v>15500</v>
      </c>
    </row>
    <row r="5" spans="1:2" x14ac:dyDescent="0.3">
      <c r="A5" t="s">
        <v>20</v>
      </c>
      <c r="B5">
        <v>3300</v>
      </c>
    </row>
    <row r="6" spans="1:2" x14ac:dyDescent="0.3">
      <c r="A6" t="s">
        <v>24</v>
      </c>
      <c r="B6">
        <v>850</v>
      </c>
    </row>
    <row r="7" spans="1:2" x14ac:dyDescent="0.3">
      <c r="A7" t="s">
        <v>26</v>
      </c>
      <c r="B7">
        <v>5000</v>
      </c>
    </row>
    <row r="8" spans="1:2" x14ac:dyDescent="0.3">
      <c r="A8" t="s">
        <v>30</v>
      </c>
      <c r="B8">
        <v>2800</v>
      </c>
    </row>
    <row r="9" spans="1:2" x14ac:dyDescent="0.3">
      <c r="A9" t="s">
        <v>32</v>
      </c>
      <c r="B9">
        <v>1800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8E0A-6A71-4603-8165-113C6D5890C7}">
  <dimension ref="A3:B12"/>
  <sheetViews>
    <sheetView workbookViewId="0">
      <selection activeCell="I8" sqref="I8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56</v>
      </c>
      <c r="B3" t="s">
        <v>58</v>
      </c>
    </row>
    <row r="4" spans="1:2" x14ac:dyDescent="0.3">
      <c r="A4" s="3" t="s">
        <v>32</v>
      </c>
      <c r="B4">
        <v>20800</v>
      </c>
    </row>
    <row r="5" spans="1:2" x14ac:dyDescent="0.3">
      <c r="A5" s="3" t="s">
        <v>30</v>
      </c>
      <c r="B5">
        <v>19600</v>
      </c>
    </row>
    <row r="6" spans="1:2" x14ac:dyDescent="0.3">
      <c r="A6" s="3" t="s">
        <v>11</v>
      </c>
      <c r="B6">
        <v>206000</v>
      </c>
    </row>
    <row r="7" spans="1:2" x14ac:dyDescent="0.3">
      <c r="A7" s="3" t="s">
        <v>15</v>
      </c>
      <c r="B7">
        <v>123500</v>
      </c>
    </row>
    <row r="8" spans="1:2" x14ac:dyDescent="0.3">
      <c r="A8" s="3" t="s">
        <v>20</v>
      </c>
      <c r="B8">
        <v>23000</v>
      </c>
    </row>
    <row r="9" spans="1:2" x14ac:dyDescent="0.3">
      <c r="A9" s="3" t="s">
        <v>18</v>
      </c>
      <c r="B9">
        <v>139600</v>
      </c>
    </row>
    <row r="10" spans="1:2" x14ac:dyDescent="0.3">
      <c r="A10" s="3" t="s">
        <v>24</v>
      </c>
      <c r="B10">
        <v>10250</v>
      </c>
    </row>
    <row r="11" spans="1:2" x14ac:dyDescent="0.3">
      <c r="A11" s="3" t="s">
        <v>26</v>
      </c>
      <c r="B11">
        <v>24700</v>
      </c>
    </row>
    <row r="12" spans="1:2" x14ac:dyDescent="0.3">
      <c r="A12" s="3" t="s">
        <v>57</v>
      </c>
      <c r="B12">
        <v>567450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4AF5-937A-418F-BB2F-6915C38D350B}">
  <dimension ref="A3:B33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56</v>
      </c>
      <c r="B3" t="s">
        <v>58</v>
      </c>
    </row>
    <row r="4" spans="1:2" x14ac:dyDescent="0.3">
      <c r="A4" s="7">
        <v>46055</v>
      </c>
      <c r="B4">
        <v>40000</v>
      </c>
    </row>
    <row r="5" spans="1:2" x14ac:dyDescent="0.3">
      <c r="A5" s="7">
        <v>46056</v>
      </c>
      <c r="B5">
        <v>45000</v>
      </c>
    </row>
    <row r="6" spans="1:2" x14ac:dyDescent="0.3">
      <c r="A6" s="7">
        <v>46057</v>
      </c>
      <c r="B6">
        <v>6000</v>
      </c>
    </row>
    <row r="7" spans="1:2" x14ac:dyDescent="0.3">
      <c r="A7" s="7">
        <v>46058</v>
      </c>
      <c r="B7">
        <v>3200</v>
      </c>
    </row>
    <row r="8" spans="1:2" x14ac:dyDescent="0.3">
      <c r="A8" s="7">
        <v>46059</v>
      </c>
      <c r="B8">
        <v>5000</v>
      </c>
    </row>
    <row r="9" spans="1:2" x14ac:dyDescent="0.3">
      <c r="A9" s="7">
        <v>46060</v>
      </c>
      <c r="B9">
        <v>5000</v>
      </c>
    </row>
    <row r="10" spans="1:2" x14ac:dyDescent="0.3">
      <c r="A10" s="7">
        <v>46061</v>
      </c>
      <c r="B10">
        <v>4500</v>
      </c>
    </row>
    <row r="11" spans="1:2" x14ac:dyDescent="0.3">
      <c r="A11" s="7">
        <v>46062</v>
      </c>
      <c r="B11">
        <v>52000</v>
      </c>
    </row>
    <row r="12" spans="1:2" x14ac:dyDescent="0.3">
      <c r="A12" s="7">
        <v>46063</v>
      </c>
      <c r="B12">
        <v>7000</v>
      </c>
    </row>
    <row r="13" spans="1:2" x14ac:dyDescent="0.3">
      <c r="A13" s="7">
        <v>46064</v>
      </c>
      <c r="B13">
        <v>22000</v>
      </c>
    </row>
    <row r="14" spans="1:2" x14ac:dyDescent="0.3">
      <c r="A14" s="7">
        <v>46065</v>
      </c>
      <c r="B14">
        <v>32000</v>
      </c>
    </row>
    <row r="15" spans="1:2" x14ac:dyDescent="0.3">
      <c r="A15" s="7">
        <v>46066</v>
      </c>
      <c r="B15">
        <v>9600</v>
      </c>
    </row>
    <row r="16" spans="1:2" x14ac:dyDescent="0.3">
      <c r="A16" s="7">
        <v>46067</v>
      </c>
      <c r="B16">
        <v>4500</v>
      </c>
    </row>
    <row r="17" spans="1:2" x14ac:dyDescent="0.3">
      <c r="A17" s="7">
        <v>46068</v>
      </c>
      <c r="B17">
        <v>9000</v>
      </c>
    </row>
    <row r="18" spans="1:2" x14ac:dyDescent="0.3">
      <c r="A18" s="7">
        <v>46069</v>
      </c>
      <c r="B18">
        <v>4000</v>
      </c>
    </row>
    <row r="19" spans="1:2" x14ac:dyDescent="0.3">
      <c r="A19" s="7">
        <v>46070</v>
      </c>
      <c r="B19">
        <v>51000</v>
      </c>
    </row>
    <row r="20" spans="1:2" x14ac:dyDescent="0.3">
      <c r="A20" s="7">
        <v>46071</v>
      </c>
      <c r="B20">
        <v>42000</v>
      </c>
    </row>
    <row r="21" spans="1:2" x14ac:dyDescent="0.3">
      <c r="A21" s="7">
        <v>46072</v>
      </c>
      <c r="B21">
        <v>3200</v>
      </c>
    </row>
    <row r="22" spans="1:2" x14ac:dyDescent="0.3">
      <c r="A22" s="7">
        <v>46073</v>
      </c>
      <c r="B22">
        <v>31000</v>
      </c>
    </row>
    <row r="23" spans="1:2" x14ac:dyDescent="0.3">
      <c r="A23" s="7">
        <v>46074</v>
      </c>
      <c r="B23">
        <v>5200</v>
      </c>
    </row>
    <row r="24" spans="1:2" x14ac:dyDescent="0.3">
      <c r="A24" s="7">
        <v>46075</v>
      </c>
      <c r="B24">
        <v>7200</v>
      </c>
    </row>
    <row r="25" spans="1:2" x14ac:dyDescent="0.3">
      <c r="A25" s="7">
        <v>46076</v>
      </c>
      <c r="B25">
        <v>2550</v>
      </c>
    </row>
    <row r="26" spans="1:2" x14ac:dyDescent="0.3">
      <c r="A26" s="7">
        <v>46077</v>
      </c>
      <c r="B26">
        <v>5600</v>
      </c>
    </row>
    <row r="27" spans="1:2" x14ac:dyDescent="0.3">
      <c r="A27" s="7">
        <v>46078</v>
      </c>
      <c r="B27">
        <v>53000</v>
      </c>
    </row>
    <row r="28" spans="1:2" x14ac:dyDescent="0.3">
      <c r="A28" s="7">
        <v>46079</v>
      </c>
      <c r="B28">
        <v>19500</v>
      </c>
    </row>
    <row r="29" spans="1:2" x14ac:dyDescent="0.3">
      <c r="A29" s="7">
        <v>46080</v>
      </c>
      <c r="B29">
        <v>6800</v>
      </c>
    </row>
    <row r="30" spans="1:2" x14ac:dyDescent="0.3">
      <c r="A30" s="7">
        <v>46081</v>
      </c>
      <c r="B30">
        <v>5100</v>
      </c>
    </row>
    <row r="31" spans="1:2" x14ac:dyDescent="0.3">
      <c r="A31" s="7">
        <v>46082</v>
      </c>
      <c r="B31">
        <v>31600</v>
      </c>
    </row>
    <row r="32" spans="1:2" x14ac:dyDescent="0.3">
      <c r="A32" s="7">
        <v>46083</v>
      </c>
      <c r="B32">
        <v>4900</v>
      </c>
    </row>
    <row r="33" spans="1:2" x14ac:dyDescent="0.3">
      <c r="A33" s="7" t="s">
        <v>57</v>
      </c>
      <c r="B33">
        <v>517450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9876-3B5F-4D76-9147-39E14D291B1A}">
  <dimension ref="A1:J31"/>
  <sheetViews>
    <sheetView workbookViewId="0">
      <selection activeCell="B3" sqref="B3"/>
    </sheetView>
  </sheetViews>
  <sheetFormatPr defaultRowHeight="14.4" x14ac:dyDescent="0.3"/>
  <cols>
    <col min="1" max="1" width="10.77734375" bestFit="1" customWidth="1"/>
    <col min="2" max="2" width="15.44140625" bestFit="1" customWidth="1"/>
    <col min="3" max="3" width="17.44140625" bestFit="1" customWidth="1"/>
    <col min="4" max="4" width="10.6640625" bestFit="1" customWidth="1"/>
    <col min="5" max="5" width="11.109375" bestFit="1" customWidth="1"/>
    <col min="6" max="6" width="10.77734375" bestFit="1" customWidth="1"/>
    <col min="7" max="7" width="10.5546875" bestFit="1" customWidth="1"/>
    <col min="8" max="8" width="7.33203125" bestFit="1" customWidth="1"/>
    <col min="9" max="9" width="12.6640625" bestFit="1" customWidth="1"/>
    <col min="10" max="10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59</v>
      </c>
    </row>
    <row r="2" spans="1:10" x14ac:dyDescent="0.3">
      <c r="A2">
        <v>1001</v>
      </c>
      <c r="B2" s="8">
        <v>46054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50000</v>
      </c>
      <c r="I2">
        <v>50000</v>
      </c>
      <c r="J2">
        <v>52000</v>
      </c>
    </row>
    <row r="3" spans="1:10" x14ac:dyDescent="0.3">
      <c r="A3">
        <v>1002</v>
      </c>
      <c r="B3" s="8">
        <v>46055</v>
      </c>
      <c r="C3" t="s">
        <v>13</v>
      </c>
      <c r="D3" t="s">
        <v>14</v>
      </c>
      <c r="E3" t="s">
        <v>15</v>
      </c>
      <c r="F3" t="s">
        <v>12</v>
      </c>
      <c r="G3">
        <v>2</v>
      </c>
      <c r="H3">
        <v>20000</v>
      </c>
      <c r="I3">
        <v>40000</v>
      </c>
    </row>
    <row r="4" spans="1:10" x14ac:dyDescent="0.3">
      <c r="A4">
        <v>1003</v>
      </c>
      <c r="B4" s="8">
        <v>46056</v>
      </c>
      <c r="C4" t="s">
        <v>16</v>
      </c>
      <c r="D4" t="s">
        <v>17</v>
      </c>
      <c r="E4" t="s">
        <v>18</v>
      </c>
      <c r="F4" t="s">
        <v>12</v>
      </c>
      <c r="G4">
        <v>3</v>
      </c>
      <c r="H4">
        <v>15000</v>
      </c>
      <c r="I4">
        <v>45000</v>
      </c>
    </row>
    <row r="5" spans="1:10" x14ac:dyDescent="0.3">
      <c r="A5">
        <v>1004</v>
      </c>
      <c r="B5" s="8">
        <v>46057</v>
      </c>
      <c r="C5" t="s">
        <v>19</v>
      </c>
      <c r="D5" t="s">
        <v>10</v>
      </c>
      <c r="E5" t="s">
        <v>20</v>
      </c>
      <c r="F5" t="s">
        <v>21</v>
      </c>
      <c r="G5">
        <v>2</v>
      </c>
      <c r="H5">
        <v>3000</v>
      </c>
      <c r="I5">
        <v>6000</v>
      </c>
    </row>
    <row r="6" spans="1:10" x14ac:dyDescent="0.3">
      <c r="A6">
        <v>1005</v>
      </c>
      <c r="B6" s="8">
        <v>46058</v>
      </c>
      <c r="C6" t="s">
        <v>22</v>
      </c>
      <c r="D6" t="s">
        <v>23</v>
      </c>
      <c r="E6" t="s">
        <v>24</v>
      </c>
      <c r="F6" t="s">
        <v>21</v>
      </c>
      <c r="G6">
        <v>4</v>
      </c>
      <c r="H6">
        <v>800</v>
      </c>
      <c r="I6">
        <v>3200</v>
      </c>
    </row>
    <row r="7" spans="1:10" x14ac:dyDescent="0.3">
      <c r="A7">
        <v>1006</v>
      </c>
      <c r="B7" s="8">
        <v>46059</v>
      </c>
      <c r="C7" t="s">
        <v>25</v>
      </c>
      <c r="D7" t="s">
        <v>14</v>
      </c>
      <c r="E7" t="s">
        <v>26</v>
      </c>
      <c r="F7" t="s">
        <v>27</v>
      </c>
      <c r="G7">
        <v>1</v>
      </c>
      <c r="H7">
        <v>5000</v>
      </c>
      <c r="I7">
        <v>5000</v>
      </c>
    </row>
    <row r="8" spans="1:10" x14ac:dyDescent="0.3">
      <c r="A8">
        <v>1007</v>
      </c>
      <c r="B8" s="8">
        <v>46060</v>
      </c>
      <c r="C8" t="s">
        <v>28</v>
      </c>
      <c r="D8" t="s">
        <v>29</v>
      </c>
      <c r="E8" t="s">
        <v>30</v>
      </c>
      <c r="F8" t="s">
        <v>12</v>
      </c>
      <c r="G8">
        <v>2</v>
      </c>
      <c r="H8">
        <v>2500</v>
      </c>
      <c r="I8">
        <v>5000</v>
      </c>
    </row>
    <row r="9" spans="1:10" x14ac:dyDescent="0.3">
      <c r="A9">
        <v>1008</v>
      </c>
      <c r="B9" s="8">
        <v>46061</v>
      </c>
      <c r="C9" t="s">
        <v>31</v>
      </c>
      <c r="D9" t="s">
        <v>10</v>
      </c>
      <c r="E9" t="s">
        <v>32</v>
      </c>
      <c r="F9" t="s">
        <v>27</v>
      </c>
      <c r="G9">
        <v>3</v>
      </c>
      <c r="H9">
        <v>1500</v>
      </c>
      <c r="I9">
        <v>4500</v>
      </c>
    </row>
    <row r="10" spans="1:10" x14ac:dyDescent="0.3">
      <c r="A10">
        <v>1009</v>
      </c>
      <c r="B10" s="8">
        <v>46062</v>
      </c>
      <c r="C10" t="s">
        <v>33</v>
      </c>
      <c r="D10" t="s">
        <v>17</v>
      </c>
      <c r="E10" t="s">
        <v>11</v>
      </c>
      <c r="F10" t="s">
        <v>12</v>
      </c>
      <c r="G10">
        <v>1</v>
      </c>
      <c r="H10">
        <v>52000</v>
      </c>
      <c r="I10">
        <v>52000</v>
      </c>
    </row>
    <row r="11" spans="1:10" x14ac:dyDescent="0.3">
      <c r="A11">
        <v>1010</v>
      </c>
      <c r="B11" s="8">
        <v>46063</v>
      </c>
      <c r="C11" t="s">
        <v>34</v>
      </c>
      <c r="D11" t="s">
        <v>14</v>
      </c>
      <c r="E11" t="s">
        <v>20</v>
      </c>
      <c r="F11" t="s">
        <v>21</v>
      </c>
      <c r="G11">
        <v>2</v>
      </c>
      <c r="H11">
        <v>3500</v>
      </c>
      <c r="I11">
        <v>7000</v>
      </c>
    </row>
    <row r="12" spans="1:10" x14ac:dyDescent="0.3">
      <c r="A12">
        <v>1011</v>
      </c>
      <c r="B12" s="8">
        <v>46064</v>
      </c>
      <c r="C12" t="s">
        <v>35</v>
      </c>
      <c r="D12" t="s">
        <v>23</v>
      </c>
      <c r="E12" t="s">
        <v>15</v>
      </c>
      <c r="F12" t="s">
        <v>12</v>
      </c>
      <c r="G12">
        <v>1</v>
      </c>
      <c r="H12">
        <v>22000</v>
      </c>
      <c r="I12">
        <v>22000</v>
      </c>
    </row>
    <row r="13" spans="1:10" x14ac:dyDescent="0.3">
      <c r="A13">
        <v>1012</v>
      </c>
      <c r="B13" s="8">
        <v>46065</v>
      </c>
      <c r="C13" t="s">
        <v>36</v>
      </c>
      <c r="D13" t="s">
        <v>10</v>
      </c>
      <c r="E13" t="s">
        <v>18</v>
      </c>
      <c r="F13" t="s">
        <v>12</v>
      </c>
      <c r="G13">
        <v>2</v>
      </c>
      <c r="H13">
        <v>16000</v>
      </c>
      <c r="I13">
        <v>32000</v>
      </c>
    </row>
    <row r="14" spans="1:10" x14ac:dyDescent="0.3">
      <c r="A14">
        <v>1013</v>
      </c>
      <c r="B14" s="8">
        <v>46066</v>
      </c>
      <c r="C14" t="s">
        <v>37</v>
      </c>
      <c r="D14" t="s">
        <v>29</v>
      </c>
      <c r="E14" t="s">
        <v>26</v>
      </c>
      <c r="F14" t="s">
        <v>27</v>
      </c>
      <c r="G14">
        <v>2</v>
      </c>
      <c r="H14">
        <v>4800</v>
      </c>
      <c r="I14">
        <v>9600</v>
      </c>
    </row>
    <row r="15" spans="1:10" x14ac:dyDescent="0.3">
      <c r="A15">
        <v>1014</v>
      </c>
      <c r="B15" s="8">
        <v>46067</v>
      </c>
      <c r="C15" t="s">
        <v>38</v>
      </c>
      <c r="D15" t="s">
        <v>14</v>
      </c>
      <c r="E15" t="s">
        <v>24</v>
      </c>
      <c r="F15" t="s">
        <v>21</v>
      </c>
      <c r="G15">
        <v>5</v>
      </c>
      <c r="H15">
        <v>900</v>
      </c>
      <c r="I15">
        <v>4500</v>
      </c>
    </row>
    <row r="16" spans="1:10" x14ac:dyDescent="0.3">
      <c r="A16">
        <v>1015</v>
      </c>
      <c r="B16" s="8">
        <v>46068</v>
      </c>
      <c r="C16" t="s">
        <v>39</v>
      </c>
      <c r="D16" t="s">
        <v>17</v>
      </c>
      <c r="E16" t="s">
        <v>30</v>
      </c>
      <c r="F16" t="s">
        <v>12</v>
      </c>
      <c r="G16">
        <v>3</v>
      </c>
      <c r="H16">
        <v>3000</v>
      </c>
      <c r="I16">
        <v>9000</v>
      </c>
    </row>
    <row r="17" spans="1:9" x14ac:dyDescent="0.3">
      <c r="A17">
        <v>1016</v>
      </c>
      <c r="B17" s="8">
        <v>46069</v>
      </c>
      <c r="C17" t="s">
        <v>40</v>
      </c>
      <c r="D17" t="s">
        <v>10</v>
      </c>
      <c r="E17" t="s">
        <v>32</v>
      </c>
      <c r="F17" t="s">
        <v>27</v>
      </c>
      <c r="G17">
        <v>2</v>
      </c>
      <c r="H17">
        <v>2000</v>
      </c>
      <c r="I17">
        <v>4000</v>
      </c>
    </row>
    <row r="18" spans="1:9" x14ac:dyDescent="0.3">
      <c r="A18">
        <v>1017</v>
      </c>
      <c r="B18" s="8">
        <v>46070</v>
      </c>
      <c r="C18" t="s">
        <v>41</v>
      </c>
      <c r="D18" t="s">
        <v>23</v>
      </c>
      <c r="E18" t="s">
        <v>11</v>
      </c>
      <c r="F18" t="s">
        <v>12</v>
      </c>
      <c r="G18">
        <v>1</v>
      </c>
      <c r="H18">
        <v>51000</v>
      </c>
      <c r="I18">
        <v>51000</v>
      </c>
    </row>
    <row r="19" spans="1:9" x14ac:dyDescent="0.3">
      <c r="A19">
        <v>1018</v>
      </c>
      <c r="B19" s="8">
        <v>46071</v>
      </c>
      <c r="C19" t="s">
        <v>42</v>
      </c>
      <c r="D19" t="s">
        <v>14</v>
      </c>
      <c r="E19" t="s">
        <v>15</v>
      </c>
      <c r="F19" t="s">
        <v>12</v>
      </c>
      <c r="G19">
        <v>2</v>
      </c>
      <c r="H19">
        <v>21000</v>
      </c>
      <c r="I19">
        <v>42000</v>
      </c>
    </row>
    <row r="20" spans="1:9" x14ac:dyDescent="0.3">
      <c r="A20">
        <v>1019</v>
      </c>
      <c r="B20" s="8">
        <v>46072</v>
      </c>
      <c r="C20" t="s">
        <v>43</v>
      </c>
      <c r="D20" t="s">
        <v>29</v>
      </c>
      <c r="E20" t="s">
        <v>20</v>
      </c>
      <c r="F20" t="s">
        <v>21</v>
      </c>
      <c r="G20">
        <v>1</v>
      </c>
      <c r="H20">
        <v>3200</v>
      </c>
      <c r="I20">
        <v>3200</v>
      </c>
    </row>
    <row r="21" spans="1:9" x14ac:dyDescent="0.3">
      <c r="A21">
        <v>1020</v>
      </c>
      <c r="B21" s="8">
        <v>46073</v>
      </c>
      <c r="C21" t="s">
        <v>44</v>
      </c>
      <c r="D21" t="s">
        <v>10</v>
      </c>
      <c r="E21" t="s">
        <v>18</v>
      </c>
      <c r="F21" t="s">
        <v>12</v>
      </c>
      <c r="G21">
        <v>2</v>
      </c>
      <c r="H21">
        <v>15500</v>
      </c>
      <c r="I21">
        <v>31000</v>
      </c>
    </row>
    <row r="22" spans="1:9" x14ac:dyDescent="0.3">
      <c r="A22">
        <v>1021</v>
      </c>
      <c r="B22" s="8">
        <v>46074</v>
      </c>
      <c r="C22" t="s">
        <v>45</v>
      </c>
      <c r="D22" t="s">
        <v>17</v>
      </c>
      <c r="E22" t="s">
        <v>26</v>
      </c>
      <c r="F22" t="s">
        <v>27</v>
      </c>
      <c r="G22">
        <v>1</v>
      </c>
      <c r="H22">
        <v>5200</v>
      </c>
      <c r="I22">
        <v>5200</v>
      </c>
    </row>
    <row r="23" spans="1:9" x14ac:dyDescent="0.3">
      <c r="A23">
        <v>1022</v>
      </c>
      <c r="B23" s="8">
        <v>46075</v>
      </c>
      <c r="C23" t="s">
        <v>46</v>
      </c>
      <c r="D23" t="s">
        <v>14</v>
      </c>
      <c r="E23" t="s">
        <v>32</v>
      </c>
      <c r="F23" t="s">
        <v>27</v>
      </c>
      <c r="G23">
        <v>4</v>
      </c>
      <c r="H23">
        <v>1800</v>
      </c>
      <c r="I23">
        <v>7200</v>
      </c>
    </row>
    <row r="24" spans="1:9" x14ac:dyDescent="0.3">
      <c r="A24">
        <v>1023</v>
      </c>
      <c r="B24" s="8">
        <v>46076</v>
      </c>
      <c r="C24" t="s">
        <v>47</v>
      </c>
      <c r="D24" t="s">
        <v>23</v>
      </c>
      <c r="E24" t="s">
        <v>24</v>
      </c>
      <c r="F24" t="s">
        <v>21</v>
      </c>
      <c r="G24">
        <v>3</v>
      </c>
      <c r="H24">
        <v>850</v>
      </c>
      <c r="I24">
        <v>2550</v>
      </c>
    </row>
    <row r="25" spans="1:9" x14ac:dyDescent="0.3">
      <c r="A25">
        <v>1024</v>
      </c>
      <c r="B25" s="8">
        <v>46077</v>
      </c>
      <c r="C25" t="s">
        <v>48</v>
      </c>
      <c r="D25" t="s">
        <v>10</v>
      </c>
      <c r="E25" t="s">
        <v>30</v>
      </c>
      <c r="F25" t="s">
        <v>12</v>
      </c>
      <c r="G25">
        <v>2</v>
      </c>
      <c r="H25">
        <v>2800</v>
      </c>
      <c r="I25">
        <v>5600</v>
      </c>
    </row>
    <row r="26" spans="1:9" x14ac:dyDescent="0.3">
      <c r="A26">
        <v>1025</v>
      </c>
      <c r="B26" s="8">
        <v>46078</v>
      </c>
      <c r="C26" t="s">
        <v>49</v>
      </c>
      <c r="D26" t="s">
        <v>29</v>
      </c>
      <c r="E26" t="s">
        <v>11</v>
      </c>
      <c r="F26" t="s">
        <v>12</v>
      </c>
      <c r="G26">
        <v>1</v>
      </c>
      <c r="H26">
        <v>53000</v>
      </c>
      <c r="I26">
        <v>53000</v>
      </c>
    </row>
    <row r="27" spans="1:9" x14ac:dyDescent="0.3">
      <c r="A27">
        <v>1026</v>
      </c>
      <c r="B27" s="8">
        <v>46079</v>
      </c>
      <c r="C27" t="s">
        <v>50</v>
      </c>
      <c r="D27" t="s">
        <v>14</v>
      </c>
      <c r="E27" t="s">
        <v>15</v>
      </c>
      <c r="F27" t="s">
        <v>12</v>
      </c>
      <c r="G27">
        <v>1</v>
      </c>
      <c r="H27">
        <v>19500</v>
      </c>
      <c r="I27">
        <v>19500</v>
      </c>
    </row>
    <row r="28" spans="1:9" x14ac:dyDescent="0.3">
      <c r="A28">
        <v>1027</v>
      </c>
      <c r="B28" s="8">
        <v>46080</v>
      </c>
      <c r="C28" t="s">
        <v>51</v>
      </c>
      <c r="D28" t="s">
        <v>17</v>
      </c>
      <c r="E28" t="s">
        <v>20</v>
      </c>
      <c r="F28" t="s">
        <v>21</v>
      </c>
      <c r="G28">
        <v>2</v>
      </c>
      <c r="H28">
        <v>3400</v>
      </c>
      <c r="I28">
        <v>6800</v>
      </c>
    </row>
    <row r="29" spans="1:9" x14ac:dyDescent="0.3">
      <c r="A29">
        <v>1028</v>
      </c>
      <c r="B29" s="8">
        <v>46081</v>
      </c>
      <c r="C29" t="s">
        <v>52</v>
      </c>
      <c r="D29" t="s">
        <v>10</v>
      </c>
      <c r="E29" t="s">
        <v>32</v>
      </c>
      <c r="F29" t="s">
        <v>27</v>
      </c>
      <c r="G29">
        <v>3</v>
      </c>
      <c r="H29">
        <v>1700</v>
      </c>
      <c r="I29">
        <v>5100</v>
      </c>
    </row>
    <row r="30" spans="1:9" x14ac:dyDescent="0.3">
      <c r="A30">
        <v>1029</v>
      </c>
      <c r="B30" s="8">
        <v>46082</v>
      </c>
      <c r="C30" t="s">
        <v>53</v>
      </c>
      <c r="D30" t="s">
        <v>23</v>
      </c>
      <c r="E30" t="s">
        <v>18</v>
      </c>
      <c r="F30" t="s">
        <v>12</v>
      </c>
      <c r="G30">
        <v>2</v>
      </c>
      <c r="H30">
        <v>15800</v>
      </c>
      <c r="I30">
        <v>31600</v>
      </c>
    </row>
    <row r="31" spans="1:9" x14ac:dyDescent="0.3">
      <c r="A31">
        <v>1030</v>
      </c>
      <c r="B31" s="8">
        <v>46083</v>
      </c>
      <c r="C31" t="s">
        <v>54</v>
      </c>
      <c r="D31" t="s">
        <v>14</v>
      </c>
      <c r="E31" t="s">
        <v>26</v>
      </c>
      <c r="F31" t="s">
        <v>27</v>
      </c>
      <c r="G31">
        <v>1</v>
      </c>
      <c r="H31">
        <v>4900</v>
      </c>
      <c r="I31">
        <v>4900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92EA-DD64-4D2F-99DE-7E153210F426}">
  <dimension ref="A1:J33"/>
  <sheetViews>
    <sheetView tabSelected="1" workbookViewId="0">
      <selection activeCell="K21" sqref="K21"/>
    </sheetView>
  </sheetViews>
  <sheetFormatPr defaultRowHeight="14.4" x14ac:dyDescent="0.3"/>
  <cols>
    <col min="1" max="1" width="10.44140625" customWidth="1"/>
    <col min="3" max="3" width="17" customWidth="1"/>
    <col min="5" max="5" width="9.5546875" customWidth="1"/>
    <col min="6" max="6" width="10.44140625" customWidth="1"/>
    <col min="7" max="7" width="10.21875" customWidth="1"/>
    <col min="9" max="9" width="12.33203125" customWidth="1"/>
    <col min="10" max="10" width="14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59</v>
      </c>
    </row>
    <row r="2" spans="1:10" x14ac:dyDescent="0.3">
      <c r="A2">
        <v>1001</v>
      </c>
      <c r="B2" s="1">
        <v>46054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50000</v>
      </c>
      <c r="I2">
        <v>50000</v>
      </c>
      <c r="J2">
        <f>VLOOKUP(E2, Product_Lookup!A:B, 2, FALSE)</f>
        <v>52000</v>
      </c>
    </row>
    <row r="3" spans="1:10" x14ac:dyDescent="0.3">
      <c r="A3">
        <v>1002</v>
      </c>
      <c r="B3" s="1">
        <v>46055</v>
      </c>
      <c r="C3" t="s">
        <v>13</v>
      </c>
      <c r="D3" t="s">
        <v>14</v>
      </c>
      <c r="E3" t="s">
        <v>15</v>
      </c>
      <c r="F3" t="s">
        <v>12</v>
      </c>
      <c r="G3">
        <v>2</v>
      </c>
      <c r="H3">
        <v>20000</v>
      </c>
      <c r="I3">
        <v>40000</v>
      </c>
    </row>
    <row r="4" spans="1:10" x14ac:dyDescent="0.3">
      <c r="A4">
        <v>1003</v>
      </c>
      <c r="B4" s="1">
        <v>46056</v>
      </c>
      <c r="C4" t="s">
        <v>16</v>
      </c>
      <c r="D4" t="s">
        <v>17</v>
      </c>
      <c r="E4" t="s">
        <v>18</v>
      </c>
      <c r="F4" t="s">
        <v>12</v>
      </c>
      <c r="G4">
        <v>3</v>
      </c>
      <c r="H4">
        <v>15000</v>
      </c>
      <c r="I4">
        <v>45000</v>
      </c>
    </row>
    <row r="5" spans="1:10" x14ac:dyDescent="0.3">
      <c r="A5">
        <v>1004</v>
      </c>
      <c r="B5" s="1">
        <v>46057</v>
      </c>
      <c r="C5" t="s">
        <v>19</v>
      </c>
      <c r="D5" t="s">
        <v>10</v>
      </c>
      <c r="E5" t="s">
        <v>20</v>
      </c>
      <c r="F5" t="s">
        <v>21</v>
      </c>
      <c r="G5">
        <v>2</v>
      </c>
      <c r="H5">
        <v>3000</v>
      </c>
      <c r="I5">
        <v>6000</v>
      </c>
    </row>
    <row r="6" spans="1:10" x14ac:dyDescent="0.3">
      <c r="A6">
        <v>1005</v>
      </c>
      <c r="B6" s="1">
        <v>46058</v>
      </c>
      <c r="C6" t="s">
        <v>22</v>
      </c>
      <c r="D6" t="s">
        <v>23</v>
      </c>
      <c r="E6" t="s">
        <v>24</v>
      </c>
      <c r="F6" t="s">
        <v>21</v>
      </c>
      <c r="G6">
        <v>4</v>
      </c>
      <c r="H6">
        <v>800</v>
      </c>
      <c r="I6">
        <v>3200</v>
      </c>
    </row>
    <row r="7" spans="1:10" x14ac:dyDescent="0.3">
      <c r="A7">
        <v>1006</v>
      </c>
      <c r="B7" s="1">
        <v>46059</v>
      </c>
      <c r="C7" t="s">
        <v>25</v>
      </c>
      <c r="D7" t="s">
        <v>14</v>
      </c>
      <c r="E7" t="s">
        <v>26</v>
      </c>
      <c r="F7" t="s">
        <v>27</v>
      </c>
      <c r="G7">
        <v>1</v>
      </c>
      <c r="H7">
        <v>5000</v>
      </c>
      <c r="I7">
        <v>5000</v>
      </c>
    </row>
    <row r="8" spans="1:10" x14ac:dyDescent="0.3">
      <c r="A8">
        <v>1007</v>
      </c>
      <c r="B8" s="1">
        <v>46060</v>
      </c>
      <c r="C8" t="s">
        <v>28</v>
      </c>
      <c r="D8" t="s">
        <v>29</v>
      </c>
      <c r="E8" t="s">
        <v>30</v>
      </c>
      <c r="F8" t="s">
        <v>12</v>
      </c>
      <c r="G8">
        <v>2</v>
      </c>
      <c r="H8">
        <v>2500</v>
      </c>
      <c r="I8">
        <v>5000</v>
      </c>
    </row>
    <row r="9" spans="1:10" x14ac:dyDescent="0.3">
      <c r="A9">
        <v>1008</v>
      </c>
      <c r="B9" s="1">
        <v>46061</v>
      </c>
      <c r="C9" t="s">
        <v>31</v>
      </c>
      <c r="D9" t="s">
        <v>10</v>
      </c>
      <c r="E9" t="s">
        <v>32</v>
      </c>
      <c r="F9" t="s">
        <v>27</v>
      </c>
      <c r="G9">
        <v>3</v>
      </c>
      <c r="H9">
        <v>1500</v>
      </c>
      <c r="I9">
        <v>4500</v>
      </c>
    </row>
    <row r="10" spans="1:10" x14ac:dyDescent="0.3">
      <c r="A10">
        <v>1009</v>
      </c>
      <c r="B10" s="1">
        <v>46062</v>
      </c>
      <c r="C10" t="s">
        <v>33</v>
      </c>
      <c r="D10" t="s">
        <v>17</v>
      </c>
      <c r="E10" t="s">
        <v>11</v>
      </c>
      <c r="F10" t="s">
        <v>12</v>
      </c>
      <c r="G10">
        <v>1</v>
      </c>
      <c r="H10">
        <v>52000</v>
      </c>
      <c r="I10">
        <v>52000</v>
      </c>
    </row>
    <row r="11" spans="1:10" x14ac:dyDescent="0.3">
      <c r="A11">
        <v>1010</v>
      </c>
      <c r="B11" s="1">
        <v>46063</v>
      </c>
      <c r="C11" t="s">
        <v>34</v>
      </c>
      <c r="D11" t="s">
        <v>14</v>
      </c>
      <c r="E11" t="s">
        <v>20</v>
      </c>
      <c r="F11" t="s">
        <v>21</v>
      </c>
      <c r="G11">
        <v>2</v>
      </c>
      <c r="H11">
        <v>3500</v>
      </c>
      <c r="I11">
        <v>7000</v>
      </c>
    </row>
    <row r="12" spans="1:10" x14ac:dyDescent="0.3">
      <c r="A12">
        <v>1011</v>
      </c>
      <c r="B12" s="1">
        <v>46064</v>
      </c>
      <c r="C12" t="s">
        <v>35</v>
      </c>
      <c r="D12" t="s">
        <v>23</v>
      </c>
      <c r="E12" t="s">
        <v>15</v>
      </c>
      <c r="F12" t="s">
        <v>12</v>
      </c>
      <c r="G12">
        <v>1</v>
      </c>
      <c r="H12">
        <v>22000</v>
      </c>
      <c r="I12">
        <v>22000</v>
      </c>
    </row>
    <row r="13" spans="1:10" x14ac:dyDescent="0.3">
      <c r="A13">
        <v>1012</v>
      </c>
      <c r="B13" s="1">
        <v>46065</v>
      </c>
      <c r="C13" t="s">
        <v>36</v>
      </c>
      <c r="D13" t="s">
        <v>10</v>
      </c>
      <c r="E13" t="s">
        <v>18</v>
      </c>
      <c r="F13" t="s">
        <v>12</v>
      </c>
      <c r="G13">
        <v>2</v>
      </c>
      <c r="H13">
        <v>16000</v>
      </c>
      <c r="I13">
        <v>32000</v>
      </c>
    </row>
    <row r="14" spans="1:10" x14ac:dyDescent="0.3">
      <c r="A14">
        <v>1013</v>
      </c>
      <c r="B14" s="1">
        <v>46066</v>
      </c>
      <c r="C14" t="s">
        <v>37</v>
      </c>
      <c r="D14" t="s">
        <v>29</v>
      </c>
      <c r="E14" t="s">
        <v>26</v>
      </c>
      <c r="F14" t="s">
        <v>27</v>
      </c>
      <c r="G14">
        <v>2</v>
      </c>
      <c r="H14">
        <v>4800</v>
      </c>
      <c r="I14">
        <v>9600</v>
      </c>
    </row>
    <row r="15" spans="1:10" x14ac:dyDescent="0.3">
      <c r="A15">
        <v>1014</v>
      </c>
      <c r="B15" s="1">
        <v>46067</v>
      </c>
      <c r="C15" t="s">
        <v>38</v>
      </c>
      <c r="D15" t="s">
        <v>14</v>
      </c>
      <c r="E15" t="s">
        <v>24</v>
      </c>
      <c r="F15" t="s">
        <v>21</v>
      </c>
      <c r="G15">
        <v>5</v>
      </c>
      <c r="H15">
        <v>900</v>
      </c>
      <c r="I15">
        <v>4500</v>
      </c>
    </row>
    <row r="16" spans="1:10" x14ac:dyDescent="0.3">
      <c r="A16">
        <v>1015</v>
      </c>
      <c r="B16" s="1">
        <v>46068</v>
      </c>
      <c r="C16" t="s">
        <v>39</v>
      </c>
      <c r="D16" t="s">
        <v>17</v>
      </c>
      <c r="E16" t="s">
        <v>30</v>
      </c>
      <c r="F16" t="s">
        <v>12</v>
      </c>
      <c r="G16">
        <v>3</v>
      </c>
      <c r="H16">
        <v>3000</v>
      </c>
      <c r="I16">
        <v>9000</v>
      </c>
    </row>
    <row r="17" spans="1:9" x14ac:dyDescent="0.3">
      <c r="A17">
        <v>1016</v>
      </c>
      <c r="B17" s="1">
        <v>46069</v>
      </c>
      <c r="C17" t="s">
        <v>40</v>
      </c>
      <c r="D17" t="s">
        <v>10</v>
      </c>
      <c r="E17" t="s">
        <v>32</v>
      </c>
      <c r="F17" t="s">
        <v>27</v>
      </c>
      <c r="G17">
        <v>2</v>
      </c>
      <c r="H17">
        <v>2000</v>
      </c>
      <c r="I17">
        <v>4000</v>
      </c>
    </row>
    <row r="18" spans="1:9" x14ac:dyDescent="0.3">
      <c r="A18">
        <v>1017</v>
      </c>
      <c r="B18" s="1">
        <v>46070</v>
      </c>
      <c r="C18" t="s">
        <v>41</v>
      </c>
      <c r="D18" t="s">
        <v>23</v>
      </c>
      <c r="E18" t="s">
        <v>11</v>
      </c>
      <c r="F18" t="s">
        <v>12</v>
      </c>
      <c r="G18">
        <v>1</v>
      </c>
      <c r="H18">
        <v>51000</v>
      </c>
      <c r="I18">
        <v>51000</v>
      </c>
    </row>
    <row r="19" spans="1:9" x14ac:dyDescent="0.3">
      <c r="A19">
        <v>1018</v>
      </c>
      <c r="B19" s="1">
        <v>46071</v>
      </c>
      <c r="C19" t="s">
        <v>42</v>
      </c>
      <c r="D19" t="s">
        <v>14</v>
      </c>
      <c r="E19" t="s">
        <v>15</v>
      </c>
      <c r="F19" t="s">
        <v>12</v>
      </c>
      <c r="G19">
        <v>2</v>
      </c>
      <c r="H19">
        <v>21000</v>
      </c>
      <c r="I19">
        <v>42000</v>
      </c>
    </row>
    <row r="20" spans="1:9" x14ac:dyDescent="0.3">
      <c r="A20">
        <v>1019</v>
      </c>
      <c r="B20" s="1">
        <v>46072</v>
      </c>
      <c r="C20" t="s">
        <v>43</v>
      </c>
      <c r="D20" t="s">
        <v>29</v>
      </c>
      <c r="E20" t="s">
        <v>20</v>
      </c>
      <c r="F20" t="s">
        <v>21</v>
      </c>
      <c r="G20">
        <v>1</v>
      </c>
      <c r="H20">
        <v>3200</v>
      </c>
      <c r="I20">
        <v>3200</v>
      </c>
    </row>
    <row r="21" spans="1:9" x14ac:dyDescent="0.3">
      <c r="A21">
        <v>1020</v>
      </c>
      <c r="B21" s="1">
        <v>46073</v>
      </c>
      <c r="C21" t="s">
        <v>44</v>
      </c>
      <c r="D21" t="s">
        <v>10</v>
      </c>
      <c r="E21" t="s">
        <v>18</v>
      </c>
      <c r="F21" t="s">
        <v>12</v>
      </c>
      <c r="G21">
        <v>2</v>
      </c>
      <c r="H21">
        <v>15500</v>
      </c>
      <c r="I21">
        <v>31000</v>
      </c>
    </row>
    <row r="22" spans="1:9" x14ac:dyDescent="0.3">
      <c r="A22">
        <v>1021</v>
      </c>
      <c r="B22" s="1">
        <v>46074</v>
      </c>
      <c r="C22" t="s">
        <v>45</v>
      </c>
      <c r="D22" t="s">
        <v>17</v>
      </c>
      <c r="E22" t="s">
        <v>26</v>
      </c>
      <c r="F22" t="s">
        <v>27</v>
      </c>
      <c r="G22">
        <v>1</v>
      </c>
      <c r="H22">
        <v>5200</v>
      </c>
      <c r="I22">
        <v>5200</v>
      </c>
    </row>
    <row r="23" spans="1:9" x14ac:dyDescent="0.3">
      <c r="A23">
        <v>1022</v>
      </c>
      <c r="B23" s="1">
        <v>46075</v>
      </c>
      <c r="C23" t="s">
        <v>46</v>
      </c>
      <c r="D23" t="s">
        <v>14</v>
      </c>
      <c r="E23" t="s">
        <v>32</v>
      </c>
      <c r="F23" t="s">
        <v>27</v>
      </c>
      <c r="G23">
        <v>4</v>
      </c>
      <c r="H23">
        <v>1800</v>
      </c>
      <c r="I23">
        <v>7200</v>
      </c>
    </row>
    <row r="24" spans="1:9" x14ac:dyDescent="0.3">
      <c r="A24">
        <v>1023</v>
      </c>
      <c r="B24" s="1">
        <v>46076</v>
      </c>
      <c r="C24" t="s">
        <v>47</v>
      </c>
      <c r="D24" t="s">
        <v>23</v>
      </c>
      <c r="E24" t="s">
        <v>24</v>
      </c>
      <c r="F24" t="s">
        <v>21</v>
      </c>
      <c r="G24">
        <v>3</v>
      </c>
      <c r="H24">
        <v>850</v>
      </c>
      <c r="I24">
        <v>2550</v>
      </c>
    </row>
    <row r="25" spans="1:9" x14ac:dyDescent="0.3">
      <c r="A25">
        <v>1024</v>
      </c>
      <c r="B25" s="1">
        <v>46077</v>
      </c>
      <c r="C25" t="s">
        <v>48</v>
      </c>
      <c r="D25" t="s">
        <v>10</v>
      </c>
      <c r="E25" t="s">
        <v>30</v>
      </c>
      <c r="F25" t="s">
        <v>12</v>
      </c>
      <c r="G25">
        <v>2</v>
      </c>
      <c r="H25">
        <v>2800</v>
      </c>
      <c r="I25">
        <v>5600</v>
      </c>
    </row>
    <row r="26" spans="1:9" x14ac:dyDescent="0.3">
      <c r="A26">
        <v>1025</v>
      </c>
      <c r="B26" s="1">
        <v>46078</v>
      </c>
      <c r="C26" t="s">
        <v>49</v>
      </c>
      <c r="D26" t="s">
        <v>29</v>
      </c>
      <c r="E26" t="s">
        <v>11</v>
      </c>
      <c r="F26" t="s">
        <v>12</v>
      </c>
      <c r="G26">
        <v>1</v>
      </c>
      <c r="H26">
        <v>53000</v>
      </c>
      <c r="I26">
        <v>53000</v>
      </c>
    </row>
    <row r="27" spans="1:9" x14ac:dyDescent="0.3">
      <c r="A27">
        <v>1026</v>
      </c>
      <c r="B27" s="1">
        <v>46079</v>
      </c>
      <c r="C27" t="s">
        <v>50</v>
      </c>
      <c r="D27" t="s">
        <v>14</v>
      </c>
      <c r="E27" t="s">
        <v>15</v>
      </c>
      <c r="F27" t="s">
        <v>12</v>
      </c>
      <c r="G27">
        <v>1</v>
      </c>
      <c r="H27">
        <v>19500</v>
      </c>
      <c r="I27">
        <v>19500</v>
      </c>
    </row>
    <row r="28" spans="1:9" x14ac:dyDescent="0.3">
      <c r="A28">
        <v>1027</v>
      </c>
      <c r="B28" s="1">
        <v>46080</v>
      </c>
      <c r="C28" t="s">
        <v>51</v>
      </c>
      <c r="D28" t="s">
        <v>17</v>
      </c>
      <c r="E28" t="s">
        <v>20</v>
      </c>
      <c r="F28" t="s">
        <v>21</v>
      </c>
      <c r="G28">
        <v>2</v>
      </c>
      <c r="H28">
        <v>3400</v>
      </c>
      <c r="I28">
        <v>6800</v>
      </c>
    </row>
    <row r="29" spans="1:9" x14ac:dyDescent="0.3">
      <c r="A29">
        <v>1028</v>
      </c>
      <c r="B29" s="1">
        <v>46081</v>
      </c>
      <c r="C29" t="s">
        <v>52</v>
      </c>
      <c r="D29" t="s">
        <v>10</v>
      </c>
      <c r="E29" t="s">
        <v>32</v>
      </c>
      <c r="F29" t="s">
        <v>27</v>
      </c>
      <c r="G29">
        <v>3</v>
      </c>
      <c r="H29">
        <v>1700</v>
      </c>
      <c r="I29">
        <v>5100</v>
      </c>
    </row>
    <row r="30" spans="1:9" x14ac:dyDescent="0.3">
      <c r="A30">
        <v>1029</v>
      </c>
      <c r="B30" s="1">
        <v>46082</v>
      </c>
      <c r="C30" t="s">
        <v>53</v>
      </c>
      <c r="D30" t="s">
        <v>23</v>
      </c>
      <c r="E30" t="s">
        <v>18</v>
      </c>
      <c r="F30" t="s">
        <v>12</v>
      </c>
      <c r="G30">
        <v>2</v>
      </c>
      <c r="H30">
        <v>15800</v>
      </c>
      <c r="I30">
        <v>31600</v>
      </c>
    </row>
    <row r="31" spans="1:9" x14ac:dyDescent="0.3">
      <c r="A31">
        <v>1030</v>
      </c>
      <c r="B31" s="1">
        <v>46083</v>
      </c>
      <c r="C31" t="s">
        <v>54</v>
      </c>
      <c r="D31" t="s">
        <v>14</v>
      </c>
      <c r="E31" t="s">
        <v>26</v>
      </c>
      <c r="F31" t="s">
        <v>27</v>
      </c>
      <c r="G31">
        <v>1</v>
      </c>
      <c r="H31">
        <v>4900</v>
      </c>
      <c r="I31">
        <v>4900</v>
      </c>
    </row>
    <row r="33" spans="2:2" x14ac:dyDescent="0.3">
      <c r="B33" t="s">
        <v>55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34E5-7C63-4C32-A436-4E61499A1A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B0120-E6BB-40AC-9999-BABDA49F3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Detail1</vt:lpstr>
      <vt:lpstr>Pivot_table-1</vt:lpstr>
      <vt:lpstr>Pivot_table-2</vt:lpstr>
      <vt:lpstr>Dashboard-1</vt:lpstr>
      <vt:lpstr>Dashboard-2</vt:lpstr>
      <vt:lpstr>Product_Lookup</vt:lpstr>
      <vt:lpstr>Pivot table-3</vt:lpstr>
      <vt:lpstr>Pivot table-4</vt:lpstr>
      <vt:lpstr>Table2</vt:lpstr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Punalya N</dc:creator>
  <cp:lastModifiedBy>Punalya N</cp:lastModifiedBy>
  <dcterms:created xsi:type="dcterms:W3CDTF">2026-03-01T20:26:07Z</dcterms:created>
  <dcterms:modified xsi:type="dcterms:W3CDTF">2026-03-01T21:28:51Z</dcterms:modified>
</cp:coreProperties>
</file>